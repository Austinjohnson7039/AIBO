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4595680-9174-4DE4-B3DD-6019183615C0}" xr6:coauthVersionLast="47" xr6:coauthVersionMax="47" xr10:uidLastSave="{00000000-0000-0000-0000-000000000000}"/>
  <bookViews>
    <workbookView xWindow="-120" yWindow="-120" windowWidth="19440" windowHeight="10320" activeTab="2" xr2:uid="{A3DA3AEC-358E-48A6-AFAE-0D1CE23FA176}"/>
  </bookViews>
  <sheets>
    <sheet name="Purchase Track " sheetId="1" r:id="rId1"/>
    <sheet name="2025" sheetId="2" r:id="rId2"/>
    <sheet name="2026" sheetId="4" r:id="rId3"/>
    <sheet name="Resto Cafe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I19" i="4"/>
  <c r="E12" i="4"/>
  <c r="F12" i="4"/>
  <c r="F9" i="4"/>
  <c r="F10" i="4"/>
  <c r="F11" i="4"/>
  <c r="E9" i="4"/>
  <c r="E10" i="4"/>
  <c r="E11" i="4"/>
  <c r="B135" i="1"/>
  <c r="D19" i="4"/>
  <c r="G19" i="4" s="1"/>
  <c r="F4" i="4"/>
  <c r="F5" i="4"/>
  <c r="F6" i="4"/>
  <c r="F7" i="4"/>
  <c r="F8" i="4"/>
  <c r="E4" i="4"/>
  <c r="E5" i="4"/>
  <c r="E6" i="4"/>
  <c r="E7" i="4"/>
  <c r="E8" i="4"/>
  <c r="E3" i="4"/>
  <c r="J19" i="4"/>
  <c r="B43" i="4"/>
  <c r="E34" i="4"/>
  <c r="F3" i="4"/>
  <c r="P2" i="2"/>
  <c r="I117" i="2"/>
  <c r="E114" i="2"/>
  <c r="E117" i="2"/>
  <c r="F114" i="2"/>
  <c r="F117" i="2"/>
  <c r="D117" i="2"/>
  <c r="G117" i="2" s="1"/>
  <c r="E113" i="2"/>
  <c r="F113" i="2"/>
  <c r="E112" i="2"/>
  <c r="F112" i="2"/>
  <c r="E111" i="2"/>
  <c r="F111" i="2"/>
  <c r="E110" i="2"/>
  <c r="F110" i="2"/>
  <c r="E109" i="2"/>
  <c r="F109" i="2"/>
  <c r="E108" i="2"/>
  <c r="F108" i="2"/>
  <c r="E107" i="2"/>
  <c r="F107" i="2"/>
  <c r="O2" i="2"/>
  <c r="N34" i="2"/>
  <c r="F106" i="2"/>
  <c r="E106" i="2"/>
  <c r="E104" i="2"/>
  <c r="F104" i="2"/>
  <c r="E103" i="2"/>
  <c r="F103" i="2"/>
  <c r="F102" i="2"/>
  <c r="E102" i="2"/>
  <c r="E101" i="2"/>
  <c r="F101" i="2"/>
  <c r="E100" i="2"/>
  <c r="F100" i="2"/>
  <c r="E99" i="2"/>
  <c r="F99" i="2"/>
  <c r="E98" i="2"/>
  <c r="F98" i="2"/>
  <c r="E97" i="2"/>
  <c r="F97" i="2"/>
  <c r="E96" i="2"/>
  <c r="F96" i="2"/>
  <c r="N2" i="2"/>
  <c r="E95" i="2"/>
  <c r="F95" i="2"/>
  <c r="E94" i="2"/>
  <c r="F94" i="2"/>
  <c r="E93" i="2"/>
  <c r="F93" i="2"/>
  <c r="E92" i="2"/>
  <c r="F92" i="2"/>
  <c r="E91" i="2"/>
  <c r="F91" i="2"/>
  <c r="E89" i="2"/>
  <c r="F89" i="2"/>
  <c r="E90" i="2"/>
  <c r="F90" i="2"/>
  <c r="E88" i="2"/>
  <c r="F88" i="2"/>
  <c r="E86" i="2"/>
  <c r="F86" i="2"/>
  <c r="E87" i="2"/>
  <c r="F87" i="2"/>
  <c r="E85" i="2"/>
  <c r="F85" i="2"/>
  <c r="E84" i="2"/>
  <c r="F84" i="2"/>
  <c r="E83" i="2"/>
  <c r="F83" i="2"/>
  <c r="E82" i="2"/>
  <c r="F82" i="2"/>
  <c r="E80" i="2"/>
  <c r="F80" i="2"/>
  <c r="E79" i="2"/>
  <c r="F79" i="2"/>
  <c r="E78" i="2"/>
  <c r="F78" i="2"/>
  <c r="E77" i="2"/>
  <c r="F77" i="2"/>
  <c r="E76" i="2"/>
  <c r="F76" i="2"/>
  <c r="E75" i="2"/>
  <c r="F75" i="2"/>
  <c r="E74" i="2"/>
  <c r="F74" i="2"/>
  <c r="E73" i="2"/>
  <c r="F73" i="2"/>
  <c r="M2" i="2"/>
  <c r="F72" i="2"/>
  <c r="E72" i="2"/>
  <c r="E70" i="2"/>
  <c r="F70" i="2"/>
  <c r="E69" i="2"/>
  <c r="F69" i="2"/>
  <c r="E68" i="2"/>
  <c r="F68" i="2"/>
  <c r="E67" i="2"/>
  <c r="F67" i="2"/>
  <c r="E66" i="2"/>
  <c r="F66" i="2"/>
  <c r="E65" i="2"/>
  <c r="F65" i="2"/>
  <c r="E64" i="2"/>
  <c r="F64" i="2"/>
  <c r="L2" i="2"/>
  <c r="E63" i="2"/>
  <c r="F63" i="2"/>
  <c r="E62" i="2"/>
  <c r="F62" i="2"/>
  <c r="E61" i="2"/>
  <c r="F61" i="2"/>
  <c r="E60" i="2"/>
  <c r="F60" i="2"/>
  <c r="F59" i="2"/>
  <c r="E59" i="2"/>
  <c r="E57" i="2"/>
  <c r="F57" i="2"/>
  <c r="E56" i="2"/>
  <c r="F56" i="2"/>
  <c r="E55" i="2"/>
  <c r="F55" i="2"/>
  <c r="E54" i="2"/>
  <c r="F54" i="2"/>
  <c r="K43" i="2"/>
  <c r="J2" i="2"/>
  <c r="J117" i="2"/>
  <c r="E53" i="2"/>
  <c r="F53" i="2"/>
  <c r="E52" i="2"/>
  <c r="F52" i="2"/>
  <c r="E51" i="2"/>
  <c r="F51" i="2"/>
  <c r="E50" i="2"/>
  <c r="F50" i="2"/>
  <c r="E49" i="2"/>
  <c r="F49" i="2"/>
  <c r="E48" i="2"/>
  <c r="F48" i="2"/>
  <c r="E47" i="2"/>
  <c r="F47" i="2"/>
  <c r="E46" i="2"/>
  <c r="F46" i="2"/>
  <c r="E45" i="2"/>
  <c r="F45" i="2"/>
  <c r="K2" i="2"/>
  <c r="E44" i="2"/>
  <c r="F44" i="2"/>
  <c r="E43" i="2"/>
  <c r="F43" i="2"/>
  <c r="E42" i="2"/>
  <c r="F42" i="2"/>
  <c r="F41" i="2"/>
  <c r="E41" i="2"/>
  <c r="E39" i="2"/>
  <c r="F39" i="2"/>
  <c r="E38" i="2"/>
  <c r="F38" i="2"/>
  <c r="E37" i="2"/>
  <c r="F37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2" i="2"/>
  <c r="L34" i="2"/>
  <c r="K34" i="2"/>
  <c r="E19" i="4" l="1"/>
  <c r="F19" i="4"/>
  <c r="B34" i="4"/>
  <c r="C34" i="4"/>
</calcChain>
</file>

<file path=xl/sharedStrings.xml><?xml version="1.0" encoding="utf-8"?>
<sst xmlns="http://schemas.openxmlformats.org/spreadsheetml/2006/main" count="679" uniqueCount="132">
  <si>
    <t>Amount</t>
  </si>
  <si>
    <t>OrderNo.</t>
  </si>
  <si>
    <t>To</t>
  </si>
  <si>
    <t>16 Moto</t>
  </si>
  <si>
    <t xml:space="preserve">Samatha </t>
  </si>
  <si>
    <t>Round Global</t>
  </si>
  <si>
    <t>Restaurant Name</t>
  </si>
  <si>
    <t>Response</t>
  </si>
  <si>
    <t>Desi Cuppa</t>
  </si>
  <si>
    <t>No</t>
  </si>
  <si>
    <t>Trail</t>
  </si>
  <si>
    <t>Shakespeare</t>
  </si>
  <si>
    <t>Rejected</t>
  </si>
  <si>
    <t>Ivory Café</t>
  </si>
  <si>
    <t>Grillax</t>
  </si>
  <si>
    <t>Kaffogis</t>
  </si>
  <si>
    <t>Yes</t>
  </si>
  <si>
    <t>Meghana</t>
  </si>
  <si>
    <t>Austin's Share</t>
  </si>
  <si>
    <t>Mummy Share</t>
  </si>
  <si>
    <t>Total</t>
  </si>
  <si>
    <t>Austin's Orders</t>
  </si>
  <si>
    <t>Payments Received</t>
  </si>
  <si>
    <t>Tea Hub</t>
  </si>
  <si>
    <t>Austin Buy</t>
  </si>
  <si>
    <t>Meghana's Aunty</t>
  </si>
  <si>
    <t>Heidy</t>
  </si>
  <si>
    <t>Dad's Buy</t>
  </si>
  <si>
    <t>Item Name</t>
  </si>
  <si>
    <t>Dairy Milk Shots</t>
  </si>
  <si>
    <t>Quantity</t>
  </si>
  <si>
    <t>Choco Chip White</t>
  </si>
  <si>
    <t>Choco Chip Dark</t>
  </si>
  <si>
    <t>Cashew</t>
  </si>
  <si>
    <t>Almonds</t>
  </si>
  <si>
    <t>75g</t>
  </si>
  <si>
    <t>210g</t>
  </si>
  <si>
    <t>Cocoa Powder Light</t>
  </si>
  <si>
    <t>500g</t>
  </si>
  <si>
    <t>Milk Compound</t>
  </si>
  <si>
    <t>Cake Topper</t>
  </si>
  <si>
    <t>Finished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</si>
  <si>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</si>
  <si>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Frosty Bites</t>
  </si>
  <si>
    <t>Eggs</t>
  </si>
  <si>
    <t>Nutella</t>
  </si>
  <si>
    <t>350g</t>
  </si>
  <si>
    <t>Biscoff Spread</t>
  </si>
  <si>
    <t>Butter</t>
  </si>
  <si>
    <t>Oreo</t>
  </si>
  <si>
    <t>White Compound</t>
  </si>
  <si>
    <t>Pista Spread</t>
  </si>
  <si>
    <t>Brown Sugar</t>
  </si>
  <si>
    <t>Maida</t>
  </si>
  <si>
    <t>Meghna's Aunty</t>
  </si>
  <si>
    <t>Kitkat</t>
  </si>
  <si>
    <t>Janaseva</t>
  </si>
  <si>
    <t>6 and 4 boxes</t>
  </si>
  <si>
    <t>4kg Box</t>
  </si>
  <si>
    <t>Chocochip</t>
  </si>
  <si>
    <t>200g</t>
  </si>
  <si>
    <t>Powedered Sugar</t>
  </si>
  <si>
    <t>Biscoff Biscuit</t>
  </si>
  <si>
    <t>1kg</t>
  </si>
  <si>
    <t>Butter Paper</t>
  </si>
  <si>
    <t>paper board, box</t>
  </si>
  <si>
    <t>coin topper</t>
  </si>
  <si>
    <t>Shots</t>
  </si>
  <si>
    <t>JUNE</t>
  </si>
  <si>
    <t>4 kg Box</t>
  </si>
  <si>
    <t>Vishnu</t>
  </si>
  <si>
    <t>Pista Nuts</t>
  </si>
  <si>
    <t>100g</t>
  </si>
  <si>
    <t>Brownie Count</t>
  </si>
  <si>
    <t>Date</t>
  </si>
  <si>
    <t>Icing Bag Medium</t>
  </si>
  <si>
    <t>8 inch tin</t>
  </si>
  <si>
    <t xml:space="preserve"> Biscoff Biscuit</t>
  </si>
  <si>
    <t>Jaggi</t>
  </si>
  <si>
    <t>Doilie Paper</t>
  </si>
  <si>
    <t>5kg</t>
  </si>
  <si>
    <t>Cake Box</t>
  </si>
  <si>
    <t>Rajni</t>
  </si>
  <si>
    <t xml:space="preserve">Allan friend </t>
  </si>
  <si>
    <t xml:space="preserve"> Pista Nut</t>
  </si>
  <si>
    <t>Daddys</t>
  </si>
  <si>
    <t>JULY</t>
  </si>
  <si>
    <t>Mummy</t>
  </si>
  <si>
    <t>Dad buy wholesale</t>
  </si>
  <si>
    <t>Delivery</t>
  </si>
  <si>
    <t>Big order purhase</t>
  </si>
  <si>
    <t>Dads</t>
  </si>
  <si>
    <t>Bill</t>
  </si>
  <si>
    <t xml:space="preserve">bill </t>
  </si>
  <si>
    <t>bill</t>
  </si>
  <si>
    <t>Tailor</t>
  </si>
  <si>
    <t>Babu</t>
  </si>
  <si>
    <t>June</t>
  </si>
  <si>
    <t>July</t>
  </si>
  <si>
    <t>May</t>
  </si>
  <si>
    <t>AUGUST</t>
  </si>
  <si>
    <t>yes</t>
  </si>
  <si>
    <t>August</t>
  </si>
  <si>
    <t>Ginet</t>
  </si>
  <si>
    <t>90 mini</t>
  </si>
  <si>
    <t>SEPTEMBER</t>
  </si>
  <si>
    <t>September</t>
  </si>
  <si>
    <t>Alankar</t>
  </si>
  <si>
    <t xml:space="preserve">Alankar </t>
  </si>
  <si>
    <t>OCTOBER</t>
  </si>
  <si>
    <t>October</t>
  </si>
  <si>
    <t>Cake+brownie</t>
  </si>
  <si>
    <t>Bill Oct 24</t>
  </si>
  <si>
    <t>Bill Oct 25</t>
  </si>
  <si>
    <t>Olan</t>
  </si>
  <si>
    <t>Neyvedyam</t>
  </si>
  <si>
    <t>Hungry Paul</t>
  </si>
  <si>
    <t>NOVEMBER</t>
  </si>
  <si>
    <t>November</t>
  </si>
  <si>
    <t>Bill Oct 31</t>
  </si>
  <si>
    <t>Bill nov 4</t>
  </si>
  <si>
    <t>Neyy Vedyam</t>
  </si>
  <si>
    <t>Bill Nov 12</t>
  </si>
  <si>
    <t>Flamengo</t>
  </si>
  <si>
    <t>Desserts</t>
  </si>
  <si>
    <t>MARCH</t>
  </si>
  <si>
    <t>Agina</t>
  </si>
  <si>
    <t>Rajini</t>
  </si>
  <si>
    <t>3 Tub</t>
  </si>
  <si>
    <t>March</t>
  </si>
  <si>
    <t xml:space="preserve"> 2 Tubs</t>
  </si>
  <si>
    <t>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</si>
</sst>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/>
    <xf numFmtId="16" fontId="0" fillId="0" borderId="0" xfId="0" applyNumberFormat="1" applyAlignment="1">
      <alignment horizontal="center"/>
    </xf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DD0709D-0E62-4AD2-9FFC-54BFB28E9547}">
  <we:reference id="wa200008463" version="1.0.0.0" store="en-US" storeType="OMEX"/>
  <we:alternateReferences>
    <we:reference id="wa200008463" version="1.0.0.0" store="en-US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BB284D2-D6F1-4948-B2AD-640D60DA344B}">
  <we:reference id="wa200006009" version="2.1.2.10" store="en-US" storeType="OMEX"/>
  <we:alternateReferences>
    <we:reference id="wa200006009" version="2.1.2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42C7-93E8-4D04-A1B6-19A100B29C50}">
  <dimension ref="A1:G135"/>
  <sheetViews>
    <sheetView topLeftCell="A117" workbookViewId="0">
      <selection activeCell="C132" sqref="C132"/>
    </sheetView>
  </sheetViews>
  <sheetFormatPr defaultRowHeight="15" x14ac:dyDescent="0.25"/>
  <cols>
    <col min="1" max="1" width="24.7109375" customWidth="1"/>
    <col min="2" max="2" width="21.140625" customWidth="1"/>
    <col min="3" max="3" width="11.7109375" customWidth="1"/>
  </cols>
  <sheetData>
    <row r="1" spans="1:4" x14ac:dyDescent="0.25">
      <c r="A1" s="2" t="s">
        <v>28</v>
      </c>
      <c r="B1" s="2" t="s">
        <v>0</v>
      </c>
      <c r="C1" s="2" t="s">
        <v>30</v>
      </c>
      <c r="D1" s="2" t="s">
        <v>41</v>
      </c>
    </row>
    <row r="2" spans="1:4" x14ac:dyDescent="0.25">
      <c r="A2" s="1" t="s">
        <v>24</v>
      </c>
      <c r="B2" s="1">
        <v>2300</v>
      </c>
      <c r="C2" s="1"/>
      <c r="D2" s="1"/>
    </row>
    <row r="3" spans="1:4" x14ac:dyDescent="0.25">
      <c r="A3" s="1" t="s">
        <v>27</v>
      </c>
      <c r="B3" s="1">
        <v>1600</v>
      </c>
      <c r="C3" s="1"/>
      <c r="D3" s="1"/>
    </row>
    <row r="4" spans="1:4" x14ac:dyDescent="0.25">
      <c r="A4" s="1" t="s">
        <v>27</v>
      </c>
      <c r="B4" s="1">
        <v>1100</v>
      </c>
      <c r="C4" s="1"/>
      <c r="D4" s="1" t="s">
        <v>16</v>
      </c>
    </row>
    <row r="5" spans="1:4" x14ac:dyDescent="0.25">
      <c r="A5" s="1" t="s">
        <v>29</v>
      </c>
      <c r="B5" s="1">
        <v>15</v>
      </c>
      <c r="C5" s="1">
        <v>3</v>
      </c>
      <c r="D5" s="1" t="s">
        <v>16</v>
      </c>
    </row>
    <row r="6" spans="1:4" x14ac:dyDescent="0.25">
      <c r="A6" s="1" t="s">
        <v>31</v>
      </c>
      <c r="B6" s="1">
        <v>40</v>
      </c>
      <c r="C6" s="1">
        <v>1</v>
      </c>
      <c r="D6" s="1" t="s">
        <v>16</v>
      </c>
    </row>
    <row r="7" spans="1:4" x14ac:dyDescent="0.25">
      <c r="A7" s="1" t="s">
        <v>32</v>
      </c>
      <c r="B7" s="1">
        <v>30</v>
      </c>
      <c r="C7" s="1">
        <v>1</v>
      </c>
      <c r="D7" s="1" t="s">
        <v>16</v>
      </c>
    </row>
    <row r="8" spans="1:4" x14ac:dyDescent="0.25">
      <c r="A8" s="1" t="s">
        <v>33</v>
      </c>
      <c r="B8" s="1">
        <v>92.5</v>
      </c>
      <c r="C8" s="1" t="s">
        <v>35</v>
      </c>
      <c r="D8" s="1" t="s">
        <v>16</v>
      </c>
    </row>
    <row r="9" spans="1:4" x14ac:dyDescent="0.25">
      <c r="A9" s="1" t="s">
        <v>34</v>
      </c>
      <c r="B9" s="1">
        <v>200</v>
      </c>
      <c r="C9" s="1" t="s">
        <v>36</v>
      </c>
      <c r="D9" s="1" t="s">
        <v>16</v>
      </c>
    </row>
    <row r="10" spans="1:4" x14ac:dyDescent="0.25">
      <c r="A10" s="1" t="s">
        <v>37</v>
      </c>
      <c r="B10" s="1">
        <v>500</v>
      </c>
      <c r="C10" s="1" t="s">
        <v>38</v>
      </c>
      <c r="D10" s="1" t="s">
        <v>16</v>
      </c>
    </row>
    <row r="11" spans="1:4" x14ac:dyDescent="0.25">
      <c r="A11" s="1" t="s">
        <v>39</v>
      </c>
      <c r="B11" s="1">
        <v>567</v>
      </c>
      <c r="C11" s="1">
        <v>3</v>
      </c>
      <c r="D11" s="1" t="s">
        <v>16</v>
      </c>
    </row>
    <row r="12" spans="1:4" x14ac:dyDescent="0.25">
      <c r="A12" s="1" t="s">
        <v>40</v>
      </c>
      <c r="B12" s="1">
        <v>65</v>
      </c>
      <c r="C12" s="1">
        <v>2</v>
      </c>
      <c r="D12" s="1" t="s">
        <v>16</v>
      </c>
    </row>
    <row r="13" spans="1:4" x14ac:dyDescent="0.25">
      <c r="A13" s="1" t="s">
        <v>44</v>
      </c>
      <c r="B13" s="1">
        <v>136</v>
      </c>
      <c r="C13" s="1">
        <v>20</v>
      </c>
      <c r="D13" s="1" t="s">
        <v>16</v>
      </c>
    </row>
    <row r="14" spans="1:4" x14ac:dyDescent="0.25">
      <c r="A14" s="1" t="s">
        <v>45</v>
      </c>
      <c r="B14" s="1">
        <v>349</v>
      </c>
      <c r="C14" s="1" t="s">
        <v>46</v>
      </c>
      <c r="D14" s="1" t="s">
        <v>16</v>
      </c>
    </row>
    <row r="15" spans="1:4" x14ac:dyDescent="0.25">
      <c r="A15" s="1" t="s">
        <v>47</v>
      </c>
      <c r="B15" s="1">
        <v>540</v>
      </c>
      <c r="C15" s="1">
        <v>1</v>
      </c>
      <c r="D15" s="1" t="s">
        <v>16</v>
      </c>
    </row>
    <row r="16" spans="1:4" x14ac:dyDescent="0.25">
      <c r="A16" s="1" t="s">
        <v>48</v>
      </c>
      <c r="B16" s="1">
        <v>570</v>
      </c>
      <c r="C16" s="1">
        <v>2</v>
      </c>
      <c r="D16" s="1" t="s">
        <v>16</v>
      </c>
    </row>
    <row r="17" spans="1:7" x14ac:dyDescent="0.25">
      <c r="A17" s="1" t="s">
        <v>49</v>
      </c>
      <c r="B17" s="1">
        <v>56</v>
      </c>
      <c r="C17" s="1">
        <v>2</v>
      </c>
      <c r="D17" s="1" t="s">
        <v>16</v>
      </c>
      <c r="G17" s="1"/>
    </row>
    <row r="18" spans="1:7" x14ac:dyDescent="0.25">
      <c r="A18" s="1" t="s">
        <v>50</v>
      </c>
      <c r="B18" s="1">
        <v>190</v>
      </c>
      <c r="C18" s="1">
        <v>1</v>
      </c>
      <c r="D18" s="1" t="s">
        <v>16</v>
      </c>
      <c r="G18" s="1"/>
    </row>
    <row r="19" spans="1:7" x14ac:dyDescent="0.25">
      <c r="A19" s="1" t="s">
        <v>39</v>
      </c>
      <c r="B19" s="1">
        <v>540</v>
      </c>
      <c r="C19" s="1">
        <v>3</v>
      </c>
      <c r="D19" s="1" t="s">
        <v>16</v>
      </c>
      <c r="G19" s="1"/>
    </row>
    <row r="20" spans="1:7" x14ac:dyDescent="0.25">
      <c r="A20" s="1" t="s">
        <v>45</v>
      </c>
      <c r="B20" s="1">
        <v>720</v>
      </c>
      <c r="C20" s="1">
        <v>1</v>
      </c>
      <c r="D20" s="1" t="s">
        <v>16</v>
      </c>
      <c r="G20" s="1"/>
    </row>
    <row r="21" spans="1:7" x14ac:dyDescent="0.25">
      <c r="A21" s="1" t="s">
        <v>51</v>
      </c>
      <c r="B21" s="1">
        <v>880</v>
      </c>
      <c r="C21" s="1">
        <v>1</v>
      </c>
      <c r="D21" s="1" t="s">
        <v>16</v>
      </c>
      <c r="G21" s="1"/>
    </row>
    <row r="22" spans="1:7" x14ac:dyDescent="0.25">
      <c r="A22" s="1" t="s">
        <v>52</v>
      </c>
      <c r="B22" s="1">
        <v>96</v>
      </c>
      <c r="C22" s="1">
        <v>2</v>
      </c>
      <c r="D22" s="1" t="s">
        <v>16</v>
      </c>
      <c r="G22" s="1"/>
    </row>
    <row r="23" spans="1:7" x14ac:dyDescent="0.25">
      <c r="A23" s="1" t="s">
        <v>53</v>
      </c>
      <c r="B23" s="1">
        <v>69</v>
      </c>
      <c r="C23" s="1">
        <v>1</v>
      </c>
      <c r="D23" s="1" t="s">
        <v>16</v>
      </c>
      <c r="G23" s="1"/>
    </row>
    <row r="24" spans="1:7" x14ac:dyDescent="0.25">
      <c r="A24" s="1" t="s">
        <v>55</v>
      </c>
      <c r="B24" s="1">
        <v>120</v>
      </c>
      <c r="C24" s="1">
        <v>12</v>
      </c>
      <c r="D24" s="1" t="s">
        <v>16</v>
      </c>
    </row>
    <row r="25" spans="1:7" x14ac:dyDescent="0.25">
      <c r="A25" s="1" t="s">
        <v>55</v>
      </c>
      <c r="B25" s="1">
        <v>390</v>
      </c>
      <c r="C25" s="1">
        <v>42</v>
      </c>
      <c r="D25" s="1" t="s">
        <v>16</v>
      </c>
    </row>
    <row r="26" spans="1:7" x14ac:dyDescent="0.25">
      <c r="A26" s="1" t="s">
        <v>48</v>
      </c>
      <c r="B26" s="1">
        <v>590</v>
      </c>
      <c r="C26" s="1">
        <v>2</v>
      </c>
      <c r="D26" s="1" t="s">
        <v>16</v>
      </c>
    </row>
    <row r="27" spans="1:7" x14ac:dyDescent="0.25">
      <c r="A27" s="1" t="s">
        <v>39</v>
      </c>
      <c r="B27" s="1">
        <v>555</v>
      </c>
      <c r="C27" s="1">
        <v>3</v>
      </c>
      <c r="D27" s="1" t="s">
        <v>16</v>
      </c>
    </row>
    <row r="28" spans="1:7" x14ac:dyDescent="0.25">
      <c r="A28" s="1" t="s">
        <v>57</v>
      </c>
      <c r="B28" s="1">
        <v>360</v>
      </c>
      <c r="C28" s="1">
        <v>12</v>
      </c>
      <c r="D28" s="1" t="s">
        <v>16</v>
      </c>
    </row>
    <row r="29" spans="1:7" x14ac:dyDescent="0.25">
      <c r="A29" s="1" t="s">
        <v>45</v>
      </c>
      <c r="B29" s="1">
        <v>640</v>
      </c>
      <c r="C29" s="1">
        <v>2</v>
      </c>
      <c r="D29" s="1" t="s">
        <v>16</v>
      </c>
    </row>
    <row r="30" spans="1:7" x14ac:dyDescent="0.25">
      <c r="A30" s="1" t="s">
        <v>58</v>
      </c>
      <c r="B30" s="1">
        <v>45</v>
      </c>
      <c r="C30" s="1">
        <v>1</v>
      </c>
      <c r="D30" s="1" t="s">
        <v>16</v>
      </c>
    </row>
    <row r="31" spans="1:7" x14ac:dyDescent="0.25">
      <c r="A31" s="1" t="s">
        <v>48</v>
      </c>
      <c r="B31" s="1">
        <v>614</v>
      </c>
      <c r="C31" s="1">
        <v>2</v>
      </c>
      <c r="D31" s="1" t="s">
        <v>16</v>
      </c>
    </row>
    <row r="32" spans="1:7" x14ac:dyDescent="0.25">
      <c r="A32" s="1" t="s">
        <v>49</v>
      </c>
      <c r="B32" s="1">
        <v>29</v>
      </c>
      <c r="C32" s="1">
        <v>1</v>
      </c>
      <c r="D32" s="1" t="s">
        <v>16</v>
      </c>
    </row>
    <row r="33" spans="1:4" x14ac:dyDescent="0.25">
      <c r="A33" s="1" t="s">
        <v>53</v>
      </c>
      <c r="B33" s="1">
        <v>55</v>
      </c>
      <c r="C33" s="1" t="s">
        <v>63</v>
      </c>
      <c r="D33" s="1" t="s">
        <v>16</v>
      </c>
    </row>
    <row r="34" spans="1:4" x14ac:dyDescent="0.25">
      <c r="A34" s="1" t="s">
        <v>59</v>
      </c>
      <c r="B34" s="1">
        <v>60</v>
      </c>
      <c r="C34" s="1" t="s">
        <v>60</v>
      </c>
      <c r="D34" s="1" t="s">
        <v>16</v>
      </c>
    </row>
    <row r="35" spans="1:4" x14ac:dyDescent="0.25">
      <c r="A35" s="1" t="s">
        <v>61</v>
      </c>
      <c r="B35" s="1">
        <v>188</v>
      </c>
      <c r="C35" s="1">
        <v>2</v>
      </c>
      <c r="D35" s="1" t="s">
        <v>16</v>
      </c>
    </row>
    <row r="36" spans="1:4" x14ac:dyDescent="0.25">
      <c r="A36" s="1" t="s">
        <v>39</v>
      </c>
      <c r="B36" s="1">
        <v>1134</v>
      </c>
      <c r="C36" s="1">
        <v>6</v>
      </c>
      <c r="D36" s="1" t="s">
        <v>16</v>
      </c>
    </row>
    <row r="37" spans="1:4" x14ac:dyDescent="0.25">
      <c r="A37" s="1" t="s">
        <v>62</v>
      </c>
      <c r="B37" s="1">
        <v>269</v>
      </c>
      <c r="C37" s="1">
        <v>1</v>
      </c>
      <c r="D37" s="1" t="s">
        <v>16</v>
      </c>
    </row>
    <row r="38" spans="1:4" x14ac:dyDescent="0.25">
      <c r="A38" s="1" t="s">
        <v>64</v>
      </c>
      <c r="B38" s="1">
        <v>71</v>
      </c>
      <c r="D38" s="1" t="s">
        <v>16</v>
      </c>
    </row>
    <row r="39" spans="1:4" x14ac:dyDescent="0.25">
      <c r="A39" s="1" t="s">
        <v>65</v>
      </c>
      <c r="B39" s="1">
        <v>37</v>
      </c>
      <c r="D39" s="1" t="s">
        <v>16</v>
      </c>
    </row>
    <row r="40" spans="1:4" x14ac:dyDescent="0.25">
      <c r="A40" s="1" t="s">
        <v>66</v>
      </c>
      <c r="B40" s="1">
        <v>27</v>
      </c>
      <c r="C40" s="1">
        <v>3</v>
      </c>
      <c r="D40" s="1" t="s">
        <v>16</v>
      </c>
    </row>
    <row r="41" spans="1:4" x14ac:dyDescent="0.25">
      <c r="A41" s="1" t="s">
        <v>40</v>
      </c>
      <c r="B41" s="1">
        <v>53</v>
      </c>
      <c r="C41" s="1">
        <v>3</v>
      </c>
      <c r="D41" s="1" t="s">
        <v>16</v>
      </c>
    </row>
    <row r="42" spans="1:4" x14ac:dyDescent="0.25">
      <c r="A42" s="1" t="s">
        <v>52</v>
      </c>
      <c r="B42" s="1">
        <v>94</v>
      </c>
      <c r="C42" s="1">
        <v>2</v>
      </c>
      <c r="D42" s="1" t="s">
        <v>16</v>
      </c>
    </row>
    <row r="43" spans="1:4" x14ac:dyDescent="0.25">
      <c r="A43" s="1" t="s">
        <v>47</v>
      </c>
      <c r="B43" s="1">
        <v>540</v>
      </c>
      <c r="C43" s="1">
        <v>1</v>
      </c>
      <c r="D43" s="1" t="s">
        <v>16</v>
      </c>
    </row>
    <row r="44" spans="1:4" x14ac:dyDescent="0.25">
      <c r="A44" s="1" t="s">
        <v>48</v>
      </c>
      <c r="B44" s="1">
        <v>590</v>
      </c>
      <c r="C44" s="1">
        <v>2</v>
      </c>
      <c r="D44" s="1" t="s">
        <v>16</v>
      </c>
    </row>
    <row r="45" spans="1:4" x14ac:dyDescent="0.25">
      <c r="A45" s="1" t="s">
        <v>67</v>
      </c>
      <c r="B45" s="1">
        <v>20</v>
      </c>
      <c r="C45" s="1">
        <v>2</v>
      </c>
      <c r="D45" s="1" t="s">
        <v>16</v>
      </c>
    </row>
    <row r="46" spans="1:4" x14ac:dyDescent="0.25">
      <c r="A46" s="1" t="s">
        <v>69</v>
      </c>
      <c r="B46" s="1">
        <v>80</v>
      </c>
      <c r="C46" s="1">
        <v>2</v>
      </c>
      <c r="D46" s="1" t="s">
        <v>16</v>
      </c>
    </row>
    <row r="47" spans="1:4" x14ac:dyDescent="0.25">
      <c r="A47" s="1" t="s">
        <v>37</v>
      </c>
      <c r="B47" s="1">
        <v>500</v>
      </c>
      <c r="C47" s="1" t="s">
        <v>38</v>
      </c>
      <c r="D47" s="1" t="s">
        <v>16</v>
      </c>
    </row>
    <row r="48" spans="1:4" x14ac:dyDescent="0.25">
      <c r="A48" s="1" t="s">
        <v>39</v>
      </c>
      <c r="B48" s="1">
        <v>945</v>
      </c>
      <c r="C48" s="1">
        <v>5</v>
      </c>
      <c r="D48" s="1" t="s">
        <v>16</v>
      </c>
    </row>
    <row r="49" spans="1:5" x14ac:dyDescent="0.25">
      <c r="A49" s="1" t="s">
        <v>44</v>
      </c>
      <c r="B49" s="1">
        <v>320</v>
      </c>
      <c r="C49" s="1">
        <v>50</v>
      </c>
      <c r="D49" s="1" t="s">
        <v>16</v>
      </c>
    </row>
    <row r="50" spans="1:5" x14ac:dyDescent="0.25">
      <c r="A50" s="1" t="s">
        <v>48</v>
      </c>
      <c r="B50" s="1">
        <v>653</v>
      </c>
      <c r="C50" s="1">
        <v>2</v>
      </c>
      <c r="D50" s="1" t="s">
        <v>16</v>
      </c>
    </row>
    <row r="51" spans="1:5" x14ac:dyDescent="0.25">
      <c r="A51" s="1" t="s">
        <v>45</v>
      </c>
      <c r="B51" s="1">
        <v>334</v>
      </c>
      <c r="C51" s="1">
        <v>1</v>
      </c>
      <c r="D51" s="1" t="s">
        <v>16</v>
      </c>
    </row>
    <row r="52" spans="1:5" x14ac:dyDescent="0.25">
      <c r="A52" s="1" t="s">
        <v>51</v>
      </c>
      <c r="B52" s="1">
        <v>880</v>
      </c>
      <c r="C52" s="1">
        <v>1</v>
      </c>
      <c r="D52" s="1" t="s">
        <v>16</v>
      </c>
    </row>
    <row r="53" spans="1:5" x14ac:dyDescent="0.25">
      <c r="A53" s="1" t="s">
        <v>71</v>
      </c>
      <c r="B53" s="1">
        <v>220</v>
      </c>
      <c r="C53" s="5" t="s">
        <v>72</v>
      </c>
      <c r="D53" s="1" t="s">
        <v>16</v>
      </c>
    </row>
    <row r="54" spans="1:5" x14ac:dyDescent="0.25">
      <c r="A54" s="1" t="s">
        <v>45</v>
      </c>
      <c r="B54" s="1">
        <v>749</v>
      </c>
      <c r="C54" s="7"/>
      <c r="D54" s="1" t="s">
        <v>16</v>
      </c>
    </row>
    <row r="55" spans="1:5" x14ac:dyDescent="0.25">
      <c r="A55" s="1" t="s">
        <v>39</v>
      </c>
      <c r="B55" s="1">
        <v>378</v>
      </c>
      <c r="C55" s="7"/>
      <c r="D55" s="1" t="s">
        <v>16</v>
      </c>
    </row>
    <row r="56" spans="1:5" x14ac:dyDescent="0.25">
      <c r="A56" s="1" t="s">
        <v>59</v>
      </c>
      <c r="B56" s="1">
        <v>60</v>
      </c>
      <c r="C56" s="5">
        <v>2</v>
      </c>
      <c r="D56" s="1" t="s">
        <v>16</v>
      </c>
    </row>
    <row r="57" spans="1:5" x14ac:dyDescent="0.25">
      <c r="A57" s="1" t="s">
        <v>61</v>
      </c>
      <c r="B57" s="1">
        <v>282</v>
      </c>
      <c r="C57" s="5">
        <v>3</v>
      </c>
      <c r="D57" s="1" t="s">
        <v>16</v>
      </c>
    </row>
    <row r="58" spans="1:5" x14ac:dyDescent="0.25">
      <c r="A58" s="1" t="s">
        <v>55</v>
      </c>
      <c r="B58" s="1">
        <v>390</v>
      </c>
      <c r="C58" s="1">
        <v>42</v>
      </c>
      <c r="D58" s="1"/>
    </row>
    <row r="59" spans="1:5" x14ac:dyDescent="0.25">
      <c r="A59" s="1" t="s">
        <v>52</v>
      </c>
      <c r="B59" s="1">
        <v>94</v>
      </c>
      <c r="C59" s="1">
        <v>2</v>
      </c>
      <c r="D59" s="1" t="s">
        <v>16</v>
      </c>
    </row>
    <row r="60" spans="1:5" x14ac:dyDescent="0.25">
      <c r="A60" s="1" t="s">
        <v>39</v>
      </c>
      <c r="B60" s="1">
        <v>540</v>
      </c>
      <c r="C60" s="1">
        <v>3</v>
      </c>
      <c r="D60" s="1" t="s">
        <v>16</v>
      </c>
    </row>
    <row r="61" spans="1:5" x14ac:dyDescent="0.25">
      <c r="A61" s="1" t="s">
        <v>48</v>
      </c>
      <c r="B61" s="1">
        <v>885</v>
      </c>
      <c r="C61" s="1">
        <v>3</v>
      </c>
      <c r="D61" s="1" t="s">
        <v>16</v>
      </c>
      <c r="E61" s="1"/>
    </row>
    <row r="62" spans="1:5" x14ac:dyDescent="0.25">
      <c r="A62" s="1" t="s">
        <v>75</v>
      </c>
      <c r="B62" s="1">
        <v>85</v>
      </c>
      <c r="C62" s="1"/>
      <c r="D62" s="1" t="s">
        <v>16</v>
      </c>
    </row>
    <row r="63" spans="1:5" x14ac:dyDescent="0.25">
      <c r="A63" s="1" t="s">
        <v>53</v>
      </c>
      <c r="B63" s="1">
        <v>68</v>
      </c>
      <c r="D63" s="1" t="s">
        <v>16</v>
      </c>
    </row>
    <row r="64" spans="1:5" x14ac:dyDescent="0.25">
      <c r="A64" s="1" t="s">
        <v>76</v>
      </c>
      <c r="B64" s="1">
        <v>420</v>
      </c>
      <c r="C64" s="1">
        <v>2</v>
      </c>
      <c r="D64" s="1" t="s">
        <v>16</v>
      </c>
    </row>
    <row r="65" spans="1:4" x14ac:dyDescent="0.25">
      <c r="A65" s="1" t="s">
        <v>37</v>
      </c>
      <c r="B65" s="1">
        <v>479</v>
      </c>
      <c r="C65" s="1" t="s">
        <v>38</v>
      </c>
      <c r="D65" s="1" t="s">
        <v>16</v>
      </c>
    </row>
    <row r="66" spans="1:4" x14ac:dyDescent="0.25">
      <c r="A66" s="1" t="s">
        <v>77</v>
      </c>
      <c r="B66" s="1">
        <v>250</v>
      </c>
      <c r="C66" s="1"/>
      <c r="D66" s="1" t="s">
        <v>16</v>
      </c>
    </row>
    <row r="67" spans="1:4" x14ac:dyDescent="0.25">
      <c r="A67" s="1" t="s">
        <v>52</v>
      </c>
      <c r="B67" s="1">
        <v>47</v>
      </c>
      <c r="C67" s="1">
        <v>1</v>
      </c>
      <c r="D67" s="1" t="s">
        <v>16</v>
      </c>
    </row>
    <row r="68" spans="1:4" x14ac:dyDescent="0.25">
      <c r="A68" s="1" t="s">
        <v>61</v>
      </c>
      <c r="B68" s="1">
        <v>80</v>
      </c>
      <c r="C68" s="1"/>
      <c r="D68" s="1" t="s">
        <v>16</v>
      </c>
    </row>
    <row r="69" spans="1:4" x14ac:dyDescent="0.25">
      <c r="A69" s="1" t="s">
        <v>48</v>
      </c>
      <c r="B69" s="1">
        <v>590</v>
      </c>
      <c r="C69" s="1">
        <v>2</v>
      </c>
      <c r="D69" s="1" t="s">
        <v>16</v>
      </c>
    </row>
    <row r="70" spans="1:4" x14ac:dyDescent="0.25">
      <c r="A70" s="1" t="s">
        <v>59</v>
      </c>
      <c r="B70" s="1">
        <v>58</v>
      </c>
      <c r="C70" s="1">
        <v>2</v>
      </c>
      <c r="D70" s="1" t="s">
        <v>16</v>
      </c>
    </row>
    <row r="71" spans="1:4" x14ac:dyDescent="0.25">
      <c r="A71" s="1" t="s">
        <v>53</v>
      </c>
      <c r="B71" s="1">
        <v>69</v>
      </c>
      <c r="C71" s="1"/>
      <c r="D71" s="1" t="s">
        <v>16</v>
      </c>
    </row>
    <row r="72" spans="1:4" x14ac:dyDescent="0.25">
      <c r="A72" s="1" t="s">
        <v>39</v>
      </c>
      <c r="B72" s="1">
        <v>555</v>
      </c>
      <c r="C72" s="1">
        <v>3</v>
      </c>
      <c r="D72" s="1" t="s">
        <v>16</v>
      </c>
    </row>
    <row r="73" spans="1:4" x14ac:dyDescent="0.25">
      <c r="A73" s="1" t="s">
        <v>49</v>
      </c>
      <c r="B73" s="1">
        <v>28</v>
      </c>
      <c r="C73" s="1"/>
      <c r="D73" s="1" t="s">
        <v>16</v>
      </c>
    </row>
    <row r="74" spans="1:4" x14ac:dyDescent="0.25">
      <c r="A74" s="1" t="s">
        <v>39</v>
      </c>
      <c r="B74" s="1">
        <v>1110</v>
      </c>
      <c r="C74" s="1">
        <v>6</v>
      </c>
      <c r="D74" s="1" t="s">
        <v>16</v>
      </c>
    </row>
    <row r="75" spans="1:4" x14ac:dyDescent="0.25">
      <c r="A75" s="1" t="s">
        <v>45</v>
      </c>
      <c r="B75" s="1">
        <v>720</v>
      </c>
      <c r="D75" s="1" t="s">
        <v>16</v>
      </c>
    </row>
    <row r="76" spans="1:4" x14ac:dyDescent="0.25">
      <c r="A76" s="1" t="s">
        <v>79</v>
      </c>
      <c r="B76" s="1">
        <v>60</v>
      </c>
      <c r="C76" s="1"/>
      <c r="D76" s="1" t="s">
        <v>16</v>
      </c>
    </row>
    <row r="77" spans="1:4" x14ac:dyDescent="0.25">
      <c r="A77" s="1" t="s">
        <v>64</v>
      </c>
      <c r="B77" s="1">
        <v>80</v>
      </c>
      <c r="C77" s="1"/>
      <c r="D77" s="1" t="s">
        <v>16</v>
      </c>
    </row>
    <row r="78" spans="1:4" x14ac:dyDescent="0.25">
      <c r="A78" s="1" t="s">
        <v>49</v>
      </c>
      <c r="B78" s="1">
        <v>58</v>
      </c>
      <c r="C78" s="1">
        <v>2</v>
      </c>
      <c r="D78" s="1" t="s">
        <v>16</v>
      </c>
    </row>
    <row r="79" spans="1:4" x14ac:dyDescent="0.25">
      <c r="A79" s="1" t="s">
        <v>48</v>
      </c>
      <c r="B79" s="1">
        <v>614</v>
      </c>
      <c r="C79" s="1">
        <v>2</v>
      </c>
      <c r="D79" s="1" t="s">
        <v>16</v>
      </c>
    </row>
    <row r="80" spans="1:4" x14ac:dyDescent="0.25">
      <c r="A80" s="1" t="s">
        <v>39</v>
      </c>
      <c r="B80" s="1">
        <v>3800</v>
      </c>
      <c r="C80" s="1">
        <v>20</v>
      </c>
      <c r="D80" s="1" t="s">
        <v>16</v>
      </c>
    </row>
    <row r="81" spans="1:4" x14ac:dyDescent="0.25">
      <c r="A81" s="1" t="s">
        <v>53</v>
      </c>
      <c r="B81" s="1">
        <v>233</v>
      </c>
      <c r="C81" s="1" t="s">
        <v>80</v>
      </c>
      <c r="D81" s="1" t="s">
        <v>16</v>
      </c>
    </row>
    <row r="82" spans="1:4" x14ac:dyDescent="0.25">
      <c r="A82" s="1" t="s">
        <v>44</v>
      </c>
      <c r="B82" s="1">
        <v>197</v>
      </c>
      <c r="C82" s="1">
        <v>30</v>
      </c>
      <c r="D82" s="1" t="s">
        <v>16</v>
      </c>
    </row>
    <row r="83" spans="1:4" x14ac:dyDescent="0.25">
      <c r="A83" s="1" t="s">
        <v>55</v>
      </c>
      <c r="B83" s="1">
        <v>270</v>
      </c>
      <c r="C83" s="1">
        <v>29</v>
      </c>
      <c r="D83" s="1" t="s">
        <v>16</v>
      </c>
    </row>
    <row r="84" spans="1:4" x14ac:dyDescent="0.25">
      <c r="A84" s="1" t="s">
        <v>48</v>
      </c>
      <c r="B84" s="1">
        <v>854</v>
      </c>
      <c r="C84" s="1">
        <v>3</v>
      </c>
      <c r="D84" s="1" t="s">
        <v>16</v>
      </c>
    </row>
    <row r="85" spans="1:4" x14ac:dyDescent="0.25">
      <c r="A85" s="1" t="s">
        <v>61</v>
      </c>
      <c r="B85" s="1">
        <v>285</v>
      </c>
      <c r="C85" s="1">
        <v>3</v>
      </c>
      <c r="D85" s="1" t="s">
        <v>16</v>
      </c>
    </row>
    <row r="86" spans="1:4" x14ac:dyDescent="0.25">
      <c r="A86" s="1" t="s">
        <v>52</v>
      </c>
      <c r="B86" s="1">
        <v>144</v>
      </c>
      <c r="C86" s="1">
        <v>3</v>
      </c>
      <c r="D86" s="1" t="s">
        <v>16</v>
      </c>
    </row>
    <row r="87" spans="1:4" x14ac:dyDescent="0.25">
      <c r="A87" s="1" t="s">
        <v>81</v>
      </c>
      <c r="B87" s="1">
        <v>189</v>
      </c>
      <c r="C87" s="1">
        <v>4</v>
      </c>
      <c r="D87" s="1" t="s">
        <v>16</v>
      </c>
    </row>
    <row r="88" spans="1:4" x14ac:dyDescent="0.25">
      <c r="A88" s="1" t="s">
        <v>59</v>
      </c>
      <c r="B88" s="1">
        <v>62</v>
      </c>
      <c r="C88" s="1" t="s">
        <v>60</v>
      </c>
      <c r="D88" s="1" t="s">
        <v>16</v>
      </c>
    </row>
    <row r="89" spans="1:4" x14ac:dyDescent="0.25">
      <c r="A89" s="1" t="s">
        <v>39</v>
      </c>
      <c r="B89" s="1">
        <v>343</v>
      </c>
      <c r="C89" s="1">
        <v>2</v>
      </c>
      <c r="D89" s="1" t="s">
        <v>16</v>
      </c>
    </row>
    <row r="90" spans="1:4" x14ac:dyDescent="0.25">
      <c r="A90" s="1" t="s">
        <v>62</v>
      </c>
      <c r="B90" s="1">
        <v>500</v>
      </c>
      <c r="C90" s="1">
        <v>2</v>
      </c>
      <c r="D90" s="1" t="s">
        <v>16</v>
      </c>
    </row>
    <row r="91" spans="1:4" x14ac:dyDescent="0.25">
      <c r="A91" s="1" t="s">
        <v>49</v>
      </c>
      <c r="B91" s="1">
        <v>56</v>
      </c>
      <c r="C91" s="1">
        <v>2</v>
      </c>
      <c r="D91" s="1" t="s">
        <v>16</v>
      </c>
    </row>
    <row r="92" spans="1:4" x14ac:dyDescent="0.25">
      <c r="A92" s="1" t="s">
        <v>48</v>
      </c>
      <c r="B92" s="1">
        <v>590</v>
      </c>
      <c r="C92" s="1">
        <v>2</v>
      </c>
      <c r="D92" s="1" t="s">
        <v>16</v>
      </c>
    </row>
    <row r="93" spans="1:4" x14ac:dyDescent="0.25">
      <c r="A93" s="1" t="s">
        <v>44</v>
      </c>
      <c r="B93" s="1">
        <v>195</v>
      </c>
      <c r="C93" s="1">
        <v>30</v>
      </c>
      <c r="D93" s="1" t="s">
        <v>16</v>
      </c>
    </row>
    <row r="94" spans="1:4" x14ac:dyDescent="0.25">
      <c r="A94" s="1" t="s">
        <v>44</v>
      </c>
      <c r="B94" s="1">
        <v>160</v>
      </c>
      <c r="C94" s="1">
        <v>25</v>
      </c>
      <c r="D94" s="1" t="s">
        <v>16</v>
      </c>
    </row>
    <row r="95" spans="1:4" x14ac:dyDescent="0.25">
      <c r="A95" s="1" t="s">
        <v>48</v>
      </c>
      <c r="B95" s="1">
        <v>590</v>
      </c>
      <c r="C95" s="1">
        <v>2</v>
      </c>
      <c r="D95" s="1" t="s">
        <v>16</v>
      </c>
    </row>
    <row r="96" spans="1:4" x14ac:dyDescent="0.25">
      <c r="A96" s="1" t="s">
        <v>55</v>
      </c>
      <c r="B96" s="1">
        <v>390</v>
      </c>
      <c r="C96" s="1">
        <v>42</v>
      </c>
      <c r="D96" s="1" t="s">
        <v>16</v>
      </c>
    </row>
    <row r="97" spans="1:4" x14ac:dyDescent="0.25">
      <c r="A97" s="1" t="s">
        <v>51</v>
      </c>
      <c r="B97" s="1">
        <v>850</v>
      </c>
      <c r="C97" s="1">
        <v>1</v>
      </c>
      <c r="D97" s="1" t="s">
        <v>16</v>
      </c>
    </row>
    <row r="98" spans="1:4" x14ac:dyDescent="0.25">
      <c r="A98" s="1" t="s">
        <v>48</v>
      </c>
      <c r="B98" s="1">
        <v>530</v>
      </c>
      <c r="C98" s="1">
        <v>2</v>
      </c>
      <c r="D98" s="1" t="s">
        <v>16</v>
      </c>
    </row>
    <row r="99" spans="1:4" x14ac:dyDescent="0.25">
      <c r="A99" s="1" t="s">
        <v>49</v>
      </c>
      <c r="B99" s="1">
        <v>34</v>
      </c>
      <c r="C99" s="1">
        <v>1</v>
      </c>
      <c r="D99" s="1" t="s">
        <v>16</v>
      </c>
    </row>
    <row r="100" spans="1:4" x14ac:dyDescent="0.25">
      <c r="A100" s="1" t="s">
        <v>52</v>
      </c>
      <c r="B100" s="1">
        <v>144</v>
      </c>
      <c r="C100" s="1">
        <v>3</v>
      </c>
      <c r="D100" s="1" t="s">
        <v>16</v>
      </c>
    </row>
    <row r="101" spans="1:4" x14ac:dyDescent="0.25">
      <c r="A101" s="1" t="s">
        <v>84</v>
      </c>
      <c r="B101" s="1">
        <v>208</v>
      </c>
      <c r="C101" s="1" t="s">
        <v>72</v>
      </c>
      <c r="D101" s="1" t="s">
        <v>16</v>
      </c>
    </row>
    <row r="102" spans="1:4" x14ac:dyDescent="0.25">
      <c r="A102" s="1" t="s">
        <v>44</v>
      </c>
      <c r="B102" s="1">
        <v>189</v>
      </c>
      <c r="C102" s="1">
        <v>30</v>
      </c>
      <c r="D102" s="1" t="s">
        <v>16</v>
      </c>
    </row>
    <row r="103" spans="1:4" x14ac:dyDescent="0.25">
      <c r="A103" s="1" t="s">
        <v>48</v>
      </c>
      <c r="B103" s="1">
        <v>885</v>
      </c>
      <c r="C103" s="1">
        <v>3</v>
      </c>
      <c r="D103" s="1" t="s">
        <v>16</v>
      </c>
    </row>
    <row r="104" spans="1:4" x14ac:dyDescent="0.25">
      <c r="A104" s="1" t="s">
        <v>64</v>
      </c>
      <c r="B104" s="1">
        <v>60</v>
      </c>
      <c r="D104" s="1" t="s">
        <v>16</v>
      </c>
    </row>
    <row r="105" spans="1:4" x14ac:dyDescent="0.25">
      <c r="A105" s="1" t="s">
        <v>37</v>
      </c>
      <c r="B105" s="1">
        <v>500</v>
      </c>
      <c r="C105" s="1" t="s">
        <v>38</v>
      </c>
      <c r="D105" s="1" t="s">
        <v>16</v>
      </c>
    </row>
    <row r="106" spans="1:4" x14ac:dyDescent="0.25">
      <c r="A106" s="1" t="s">
        <v>45</v>
      </c>
      <c r="B106" s="1">
        <v>763</v>
      </c>
      <c r="D106" s="1" t="s">
        <v>16</v>
      </c>
    </row>
    <row r="107" spans="1:4" x14ac:dyDescent="0.25">
      <c r="A107" s="1" t="s">
        <v>59</v>
      </c>
      <c r="B107" s="1">
        <v>60</v>
      </c>
      <c r="C107" s="1" t="s">
        <v>60</v>
      </c>
      <c r="D107" s="1" t="s">
        <v>16</v>
      </c>
    </row>
    <row r="108" spans="1:4" x14ac:dyDescent="0.25">
      <c r="A108" s="1" t="s">
        <v>88</v>
      </c>
      <c r="B108" s="1">
        <v>5849</v>
      </c>
      <c r="D108" s="1" t="s">
        <v>16</v>
      </c>
    </row>
    <row r="109" spans="1:4" x14ac:dyDescent="0.25">
      <c r="A109" s="1" t="s">
        <v>88</v>
      </c>
      <c r="B109" s="1">
        <v>382</v>
      </c>
      <c r="D109" s="1" t="s">
        <v>16</v>
      </c>
    </row>
    <row r="110" spans="1:4" x14ac:dyDescent="0.25">
      <c r="A110" s="1" t="s">
        <v>89</v>
      </c>
      <c r="B110" s="1">
        <v>3000</v>
      </c>
      <c r="D110" s="1" t="s">
        <v>16</v>
      </c>
    </row>
    <row r="111" spans="1:4" x14ac:dyDescent="0.25">
      <c r="A111" s="1" t="s">
        <v>90</v>
      </c>
      <c r="B111" s="1">
        <v>2800</v>
      </c>
      <c r="D111" s="1" t="s">
        <v>16</v>
      </c>
    </row>
    <row r="112" spans="1:4" x14ac:dyDescent="0.25">
      <c r="A112" s="1" t="s">
        <v>91</v>
      </c>
      <c r="B112" s="1">
        <v>1989</v>
      </c>
      <c r="D112" s="1" t="s">
        <v>16</v>
      </c>
    </row>
    <row r="113" spans="1:4" x14ac:dyDescent="0.25">
      <c r="A113" s="1" t="s">
        <v>44</v>
      </c>
      <c r="B113" s="1">
        <v>950</v>
      </c>
      <c r="D113" s="1" t="s">
        <v>16</v>
      </c>
    </row>
    <row r="114" spans="1:4" x14ac:dyDescent="0.25">
      <c r="A114" s="1" t="s">
        <v>92</v>
      </c>
      <c r="B114" s="1">
        <v>656</v>
      </c>
      <c r="D114" s="1" t="s">
        <v>16</v>
      </c>
    </row>
    <row r="115" spans="1:4" x14ac:dyDescent="0.25">
      <c r="A115" s="1" t="s">
        <v>93</v>
      </c>
      <c r="B115" s="1">
        <v>2000</v>
      </c>
      <c r="D115" s="1" t="s">
        <v>16</v>
      </c>
    </row>
    <row r="116" spans="1:4" x14ac:dyDescent="0.25">
      <c r="A116" s="1" t="s">
        <v>94</v>
      </c>
      <c r="B116" s="1">
        <v>2170</v>
      </c>
    </row>
    <row r="117" spans="1:4" x14ac:dyDescent="0.25">
      <c r="A117" s="1" t="s">
        <v>92</v>
      </c>
      <c r="B117" s="1">
        <v>1985</v>
      </c>
    </row>
    <row r="118" spans="1:4" x14ac:dyDescent="0.25">
      <c r="A118" s="1" t="s">
        <v>92</v>
      </c>
      <c r="B118" s="1">
        <v>2600</v>
      </c>
    </row>
    <row r="119" spans="1:4" x14ac:dyDescent="0.25">
      <c r="A119" s="1" t="s">
        <v>92</v>
      </c>
      <c r="B119" s="1">
        <v>2500</v>
      </c>
    </row>
    <row r="120" spans="1:4" x14ac:dyDescent="0.25">
      <c r="A120" s="1" t="s">
        <v>92</v>
      </c>
      <c r="B120" s="1">
        <v>3500</v>
      </c>
    </row>
    <row r="121" spans="1:4" x14ac:dyDescent="0.25">
      <c r="A121" s="1" t="s">
        <v>92</v>
      </c>
      <c r="B121" s="1">
        <v>2800</v>
      </c>
    </row>
    <row r="122" spans="1:4" x14ac:dyDescent="0.25">
      <c r="A122" s="1" t="s">
        <v>92</v>
      </c>
      <c r="B122" s="1">
        <v>2000</v>
      </c>
    </row>
    <row r="123" spans="1:4" x14ac:dyDescent="0.25">
      <c r="A123" s="1" t="s">
        <v>92</v>
      </c>
      <c r="B123" s="1">
        <v>4300</v>
      </c>
    </row>
    <row r="124" spans="1:4" x14ac:dyDescent="0.25">
      <c r="A124" s="1" t="s">
        <v>92</v>
      </c>
      <c r="B124" s="1">
        <v>16000</v>
      </c>
    </row>
    <row r="125" spans="1:4" x14ac:dyDescent="0.25">
      <c r="A125" s="1" t="s">
        <v>94</v>
      </c>
      <c r="B125" s="1">
        <v>5000</v>
      </c>
    </row>
    <row r="126" spans="1:4" x14ac:dyDescent="0.25">
      <c r="A126" s="1" t="s">
        <v>92</v>
      </c>
      <c r="B126" s="1">
        <v>5800</v>
      </c>
    </row>
    <row r="127" spans="1:4" x14ac:dyDescent="0.25">
      <c r="A127" s="1" t="s">
        <v>112</v>
      </c>
      <c r="B127" s="1">
        <v>10000</v>
      </c>
    </row>
    <row r="128" spans="1:4" x14ac:dyDescent="0.25">
      <c r="A128" s="1" t="s">
        <v>113</v>
      </c>
      <c r="B128" s="1">
        <v>4500</v>
      </c>
    </row>
    <row r="129" spans="1:3" x14ac:dyDescent="0.25">
      <c r="A129" s="1" t="s">
        <v>119</v>
      </c>
      <c r="B129" s="1">
        <v>3000</v>
      </c>
    </row>
    <row r="130" spans="1:3" x14ac:dyDescent="0.25">
      <c r="A130" s="1" t="s">
        <v>120</v>
      </c>
      <c r="B130" s="1">
        <v>4500</v>
      </c>
    </row>
    <row r="131" spans="1:3" x14ac:dyDescent="0.25">
      <c r="A131" s="1" t="s">
        <v>122</v>
      </c>
      <c r="B131" s="1">
        <v>2500</v>
      </c>
    </row>
    <row r="132" spans="1:3" x14ac:dyDescent="0.25">
      <c r="A132" s="12">
        <v>657498</v>
      </c>
      <c r="B132" s="1">
        <v>3700</v>
      </c>
    </row>
    <row r="135" spans="1:3" x14ac:dyDescent="0.25">
      <c r="A135" s="3" t="s">
        <v>20</v>
      </c>
      <c r="B135" s="3">
        <f>SUM(B2:B132)</f>
        <v>137379.5</v>
      </c>
      <c r="C1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924C-3FBD-4D9D-A48D-A1E113162848}">
  <dimension ref="A1:P117"/>
  <sheetViews>
    <sheetView zoomScale="86" zoomScaleNormal="85" workbookViewId="0">
      <selection activeCell="E20" sqref="E20"/>
    </sheetView>
  </sheetViews>
  <sheetFormatPr defaultRowHeight="15" x14ac:dyDescent="0.25"/>
  <cols>
    <col min="1" max="1" width="12.7109375" customWidth="1"/>
    <col min="2" max="2" width="12.85546875" customWidth="1"/>
    <col min="3" max="3" width="23.28515625" customWidth="1"/>
    <col min="4" max="4" width="18.7109375" customWidth="1"/>
    <col min="5" max="5" width="17.5703125" customWidth="1"/>
    <col min="6" max="6" width="15.7109375" customWidth="1"/>
    <col min="7" max="7" width="23.85546875" customWidth="1"/>
    <col min="8" max="8" width="20.28515625" customWidth="1"/>
    <col min="9" max="9" width="14.7109375" customWidth="1"/>
    <col min="14" max="14" width="11.140625" customWidth="1"/>
    <col min="15" max="16" width="10" customWidth="1"/>
  </cols>
  <sheetData>
    <row r="1" spans="1:16" x14ac:dyDescent="0.25">
      <c r="A1" s="2" t="s">
        <v>1</v>
      </c>
      <c r="B1" s="2" t="s">
        <v>74</v>
      </c>
      <c r="C1" s="2" t="s">
        <v>2</v>
      </c>
      <c r="D1" s="2" t="s">
        <v>0</v>
      </c>
      <c r="E1" s="2" t="s">
        <v>18</v>
      </c>
      <c r="F1" s="2" t="s">
        <v>19</v>
      </c>
      <c r="G1" s="2" t="s">
        <v>21</v>
      </c>
      <c r="H1" s="2" t="s">
        <v>22</v>
      </c>
      <c r="I1" s="2" t="s">
        <v>73</v>
      </c>
      <c r="J1" s="2" t="s">
        <v>99</v>
      </c>
      <c r="K1" s="2" t="s">
        <v>97</v>
      </c>
      <c r="L1" s="2" t="s">
        <v>98</v>
      </c>
      <c r="M1" s="2" t="s">
        <v>102</v>
      </c>
      <c r="N1" s="2" t="s">
        <v>106</v>
      </c>
      <c r="O1" s="2" t="s">
        <v>110</v>
      </c>
      <c r="P1" s="2" t="s">
        <v>118</v>
      </c>
    </row>
    <row r="2" spans="1:16" x14ac:dyDescent="0.25">
      <c r="A2" s="1">
        <v>1</v>
      </c>
      <c r="B2" s="6">
        <v>45793</v>
      </c>
      <c r="C2" s="1" t="s">
        <v>3</v>
      </c>
      <c r="D2" s="1">
        <v>400</v>
      </c>
      <c r="E2" s="1">
        <f>IF(G2="No", D2*0, D2*0.1)</f>
        <v>40</v>
      </c>
      <c r="F2" s="1">
        <f>IF(G2="No", D2*1, D2*0.9)</f>
        <v>360</v>
      </c>
      <c r="G2" s="1" t="s">
        <v>16</v>
      </c>
      <c r="H2" s="1" t="s">
        <v>16</v>
      </c>
      <c r="I2" s="1">
        <v>5</v>
      </c>
      <c r="J2" s="2">
        <f>SUM(D2:D17)</f>
        <v>22100</v>
      </c>
      <c r="K2" s="2">
        <f>SUM(D19:D39)</f>
        <v>64415</v>
      </c>
      <c r="L2" s="2">
        <f>SUM(D41:D57)</f>
        <v>60900</v>
      </c>
      <c r="M2" s="2">
        <f>SUM(D59:D70)</f>
        <v>60420</v>
      </c>
      <c r="N2" s="2">
        <f>SUM(D72:D82)</f>
        <v>51760</v>
      </c>
      <c r="O2" s="2">
        <f>SUM(D82:D104)</f>
        <v>80150</v>
      </c>
      <c r="P2" s="2">
        <f>SUM(D106:D114)</f>
        <v>21025</v>
      </c>
    </row>
    <row r="3" spans="1:16" x14ac:dyDescent="0.25">
      <c r="A3" s="1">
        <v>2</v>
      </c>
      <c r="B3" s="6">
        <v>45794</v>
      </c>
      <c r="C3" s="1" t="s">
        <v>4</v>
      </c>
      <c r="D3" s="1">
        <v>1500</v>
      </c>
      <c r="E3" s="1">
        <f t="shared" ref="E3:E70" si="0">IF(G3="No", D3*0, D3*0.1)</f>
        <v>150</v>
      </c>
      <c r="F3" s="1">
        <f t="shared" ref="F3:F70" si="1">IF(G3="No", D3*1, D3*0.9)</f>
        <v>1350</v>
      </c>
      <c r="G3" s="1" t="s">
        <v>16</v>
      </c>
      <c r="H3" s="1" t="s">
        <v>16</v>
      </c>
      <c r="I3" s="1">
        <v>16</v>
      </c>
      <c r="J3" s="1"/>
      <c r="K3" s="1"/>
      <c r="L3" s="1"/>
      <c r="M3" s="1"/>
      <c r="N3" s="1"/>
      <c r="O3" s="1"/>
      <c r="P3" s="1"/>
    </row>
    <row r="4" spans="1:16" x14ac:dyDescent="0.25">
      <c r="A4" s="1">
        <v>3</v>
      </c>
      <c r="B4" s="6">
        <v>45799</v>
      </c>
      <c r="C4" s="1" t="s">
        <v>5</v>
      </c>
      <c r="D4" s="1">
        <v>2200</v>
      </c>
      <c r="E4" s="1">
        <f t="shared" si="0"/>
        <v>220</v>
      </c>
      <c r="F4" s="1">
        <f t="shared" si="1"/>
        <v>1980</v>
      </c>
      <c r="G4" s="1" t="s">
        <v>16</v>
      </c>
      <c r="H4" s="1" t="s">
        <v>16</v>
      </c>
      <c r="I4" s="1">
        <v>30</v>
      </c>
    </row>
    <row r="5" spans="1:16" x14ac:dyDescent="0.25">
      <c r="A5" s="1">
        <v>4</v>
      </c>
      <c r="B5" s="6">
        <v>45796</v>
      </c>
      <c r="C5" s="1" t="s">
        <v>17</v>
      </c>
      <c r="D5" s="1">
        <v>450</v>
      </c>
      <c r="E5" s="1">
        <f t="shared" si="0"/>
        <v>0</v>
      </c>
      <c r="F5" s="1">
        <f t="shared" si="1"/>
        <v>450</v>
      </c>
      <c r="G5" s="1" t="s">
        <v>9</v>
      </c>
      <c r="H5" s="1" t="s">
        <v>16</v>
      </c>
      <c r="I5" s="1">
        <v>4</v>
      </c>
    </row>
    <row r="6" spans="1:16" x14ac:dyDescent="0.25">
      <c r="A6" s="1">
        <v>5</v>
      </c>
      <c r="B6" s="6">
        <v>45797</v>
      </c>
      <c r="C6" s="1" t="s">
        <v>25</v>
      </c>
      <c r="D6" s="1">
        <v>560</v>
      </c>
      <c r="E6" s="1">
        <f t="shared" si="0"/>
        <v>0</v>
      </c>
      <c r="F6" s="1">
        <f t="shared" si="1"/>
        <v>560</v>
      </c>
      <c r="G6" s="1" t="s">
        <v>9</v>
      </c>
      <c r="H6" s="1" t="s">
        <v>16</v>
      </c>
      <c r="I6" s="1">
        <v>4</v>
      </c>
    </row>
    <row r="7" spans="1:16" x14ac:dyDescent="0.25">
      <c r="A7" s="1">
        <v>6</v>
      </c>
      <c r="B7" s="6">
        <v>45798</v>
      </c>
      <c r="C7" s="1" t="s">
        <v>26</v>
      </c>
      <c r="D7" s="1">
        <v>1300</v>
      </c>
      <c r="E7" s="1">
        <f t="shared" si="0"/>
        <v>0</v>
      </c>
      <c r="F7" s="1">
        <f t="shared" si="1"/>
        <v>1300</v>
      </c>
      <c r="G7" s="1" t="s">
        <v>9</v>
      </c>
      <c r="H7" s="1" t="s">
        <v>16</v>
      </c>
      <c r="I7" s="1">
        <v>18</v>
      </c>
    </row>
    <row r="8" spans="1:16" x14ac:dyDescent="0.25">
      <c r="A8" s="1">
        <v>7</v>
      </c>
      <c r="B8" s="6">
        <v>45799</v>
      </c>
      <c r="C8" s="1" t="s">
        <v>5</v>
      </c>
      <c r="D8" s="1">
        <v>2200</v>
      </c>
      <c r="E8" s="1">
        <f t="shared" si="0"/>
        <v>220</v>
      </c>
      <c r="F8" s="1">
        <f t="shared" si="1"/>
        <v>1980</v>
      </c>
      <c r="G8" s="1" t="s">
        <v>16</v>
      </c>
      <c r="H8" s="1" t="s">
        <v>16</v>
      </c>
      <c r="I8" s="1">
        <v>30</v>
      </c>
    </row>
    <row r="9" spans="1:16" x14ac:dyDescent="0.25">
      <c r="A9" s="1">
        <v>8</v>
      </c>
      <c r="B9" s="6">
        <v>45800</v>
      </c>
      <c r="C9" s="1" t="s">
        <v>5</v>
      </c>
      <c r="D9" s="1">
        <v>2350</v>
      </c>
      <c r="E9" s="1">
        <f t="shared" si="0"/>
        <v>235</v>
      </c>
      <c r="F9" s="1">
        <f t="shared" si="1"/>
        <v>2115</v>
      </c>
      <c r="G9" s="1" t="s">
        <v>16</v>
      </c>
      <c r="H9" s="1" t="s">
        <v>16</v>
      </c>
      <c r="I9" s="1">
        <v>30</v>
      </c>
    </row>
    <row r="10" spans="1:16" x14ac:dyDescent="0.25">
      <c r="A10" s="1">
        <v>9</v>
      </c>
      <c r="B10" s="6">
        <v>45803</v>
      </c>
      <c r="C10" s="1" t="s">
        <v>54</v>
      </c>
      <c r="D10" s="1">
        <v>280</v>
      </c>
      <c r="E10" s="1">
        <f t="shared" si="0"/>
        <v>0</v>
      </c>
      <c r="F10" s="1">
        <f t="shared" si="1"/>
        <v>280</v>
      </c>
      <c r="G10" s="1" t="s">
        <v>9</v>
      </c>
      <c r="H10" s="1" t="s">
        <v>16</v>
      </c>
      <c r="I10" s="1">
        <v>4</v>
      </c>
    </row>
    <row r="11" spans="1:16" x14ac:dyDescent="0.25">
      <c r="A11" s="1">
        <v>10</v>
      </c>
      <c r="B11" s="6">
        <v>45803</v>
      </c>
      <c r="C11" s="1" t="s">
        <v>5</v>
      </c>
      <c r="D11" s="1">
        <v>1500</v>
      </c>
      <c r="E11" s="1">
        <f t="shared" si="0"/>
        <v>150</v>
      </c>
      <c r="F11" s="1">
        <f t="shared" si="1"/>
        <v>1350</v>
      </c>
      <c r="G11" s="1" t="s">
        <v>16</v>
      </c>
      <c r="H11" s="1" t="s">
        <v>16</v>
      </c>
      <c r="I11" s="1">
        <v>20</v>
      </c>
    </row>
    <row r="12" spans="1:16" x14ac:dyDescent="0.25">
      <c r="A12" s="1">
        <v>11</v>
      </c>
      <c r="B12" s="6">
        <v>45806</v>
      </c>
      <c r="C12" s="1" t="s">
        <v>5</v>
      </c>
      <c r="D12" s="1">
        <v>2200</v>
      </c>
      <c r="E12" s="1">
        <f t="shared" si="0"/>
        <v>220</v>
      </c>
      <c r="F12" s="1">
        <f t="shared" si="1"/>
        <v>1980</v>
      </c>
      <c r="G12" s="1" t="s">
        <v>16</v>
      </c>
      <c r="H12" s="1" t="s">
        <v>16</v>
      </c>
      <c r="I12" s="1">
        <v>30</v>
      </c>
    </row>
    <row r="13" spans="1:16" x14ac:dyDescent="0.25">
      <c r="A13" s="1">
        <v>12</v>
      </c>
      <c r="B13" s="6">
        <v>45806</v>
      </c>
      <c r="C13" s="1" t="s">
        <v>54</v>
      </c>
      <c r="D13" s="1">
        <v>280</v>
      </c>
      <c r="E13" s="1">
        <f t="shared" si="0"/>
        <v>0</v>
      </c>
      <c r="F13" s="1">
        <f t="shared" si="1"/>
        <v>280</v>
      </c>
      <c r="G13" s="1" t="s">
        <v>9</v>
      </c>
      <c r="H13" s="1" t="s">
        <v>16</v>
      </c>
      <c r="I13" s="1">
        <v>4</v>
      </c>
    </row>
    <row r="14" spans="1:16" x14ac:dyDescent="0.25">
      <c r="A14" s="1">
        <v>13</v>
      </c>
      <c r="B14" s="6">
        <v>45808</v>
      </c>
      <c r="C14" s="1" t="s">
        <v>56</v>
      </c>
      <c r="D14" s="1">
        <v>1300</v>
      </c>
      <c r="E14" s="1">
        <f t="shared" si="0"/>
        <v>0</v>
      </c>
      <c r="F14" s="1">
        <f t="shared" si="1"/>
        <v>1300</v>
      </c>
      <c r="G14" s="1" t="s">
        <v>9</v>
      </c>
      <c r="H14" s="1" t="s">
        <v>16</v>
      </c>
      <c r="I14" s="1">
        <v>18</v>
      </c>
    </row>
    <row r="15" spans="1:16" x14ac:dyDescent="0.25">
      <c r="A15" s="1">
        <v>14</v>
      </c>
      <c r="B15" s="6">
        <v>45807</v>
      </c>
      <c r="C15" s="1" t="s">
        <v>5</v>
      </c>
      <c r="D15" s="1">
        <v>3100</v>
      </c>
      <c r="E15" s="1">
        <f t="shared" si="0"/>
        <v>310</v>
      </c>
      <c r="F15" s="1">
        <f t="shared" si="1"/>
        <v>2790</v>
      </c>
      <c r="G15" s="1" t="s">
        <v>16</v>
      </c>
      <c r="H15" s="1" t="s">
        <v>16</v>
      </c>
      <c r="I15" s="1">
        <v>40</v>
      </c>
    </row>
    <row r="16" spans="1:16" x14ac:dyDescent="0.25">
      <c r="A16" s="1">
        <v>15</v>
      </c>
      <c r="B16" s="6">
        <v>45808</v>
      </c>
      <c r="C16" s="1" t="s">
        <v>5</v>
      </c>
      <c r="D16" s="1">
        <v>2200</v>
      </c>
      <c r="E16" s="1">
        <f t="shared" si="0"/>
        <v>220</v>
      </c>
      <c r="F16" s="1">
        <f t="shared" si="1"/>
        <v>1980</v>
      </c>
      <c r="G16" s="1" t="s">
        <v>16</v>
      </c>
      <c r="H16" s="1" t="s">
        <v>16</v>
      </c>
      <c r="I16" s="1">
        <v>30</v>
      </c>
    </row>
    <row r="17" spans="1:13" x14ac:dyDescent="0.25">
      <c r="A17" s="1">
        <v>16</v>
      </c>
      <c r="B17" s="6">
        <v>45807</v>
      </c>
      <c r="C17" s="1" t="s">
        <v>54</v>
      </c>
      <c r="D17" s="1">
        <v>280</v>
      </c>
      <c r="E17" s="1">
        <f t="shared" si="0"/>
        <v>0</v>
      </c>
      <c r="F17" s="1">
        <f t="shared" si="1"/>
        <v>280</v>
      </c>
      <c r="G17" s="1" t="s">
        <v>9</v>
      </c>
      <c r="H17" s="1" t="s">
        <v>16</v>
      </c>
      <c r="I17" s="1">
        <v>4</v>
      </c>
    </row>
    <row r="18" spans="1:13" x14ac:dyDescent="0.25">
      <c r="A18" s="4" t="s">
        <v>68</v>
      </c>
      <c r="E18" s="1">
        <f t="shared" si="0"/>
        <v>0</v>
      </c>
      <c r="F18" s="1">
        <f t="shared" si="1"/>
        <v>0</v>
      </c>
    </row>
    <row r="19" spans="1:13" x14ac:dyDescent="0.25">
      <c r="A19" s="1">
        <v>17</v>
      </c>
      <c r="B19" s="6">
        <v>45809</v>
      </c>
      <c r="C19" s="1" t="s">
        <v>5</v>
      </c>
      <c r="D19" s="1">
        <v>3750</v>
      </c>
      <c r="E19" s="1">
        <f t="shared" si="0"/>
        <v>375</v>
      </c>
      <c r="F19" s="1">
        <f t="shared" si="1"/>
        <v>3375</v>
      </c>
      <c r="G19" s="1" t="s">
        <v>16</v>
      </c>
      <c r="H19" s="1" t="s">
        <v>16</v>
      </c>
      <c r="I19" s="1">
        <v>50</v>
      </c>
    </row>
    <row r="20" spans="1:13" x14ac:dyDescent="0.25">
      <c r="A20" s="1">
        <v>18</v>
      </c>
      <c r="B20" s="6">
        <v>45812</v>
      </c>
      <c r="C20" s="1" t="s">
        <v>70</v>
      </c>
      <c r="D20" s="1">
        <v>700</v>
      </c>
      <c r="E20" s="1">
        <f t="shared" si="0"/>
        <v>70</v>
      </c>
      <c r="F20" s="1">
        <f t="shared" si="1"/>
        <v>630</v>
      </c>
      <c r="G20" s="1" t="s">
        <v>16</v>
      </c>
      <c r="H20" s="1" t="s">
        <v>16</v>
      </c>
      <c r="I20" s="1">
        <v>6</v>
      </c>
      <c r="M20" s="1"/>
    </row>
    <row r="21" spans="1:13" x14ac:dyDescent="0.25">
      <c r="A21" s="1">
        <v>19</v>
      </c>
      <c r="B21" s="6">
        <v>45812</v>
      </c>
      <c r="C21" s="1" t="s">
        <v>5</v>
      </c>
      <c r="D21" s="1">
        <v>2250</v>
      </c>
      <c r="E21" s="1">
        <f t="shared" si="0"/>
        <v>225</v>
      </c>
      <c r="F21" s="1">
        <f t="shared" si="1"/>
        <v>2025</v>
      </c>
      <c r="G21" s="1" t="s">
        <v>16</v>
      </c>
      <c r="H21" s="1" t="s">
        <v>16</v>
      </c>
      <c r="I21" s="1">
        <v>30</v>
      </c>
      <c r="M21" s="1"/>
    </row>
    <row r="22" spans="1:13" x14ac:dyDescent="0.25">
      <c r="A22" s="1">
        <v>20</v>
      </c>
      <c r="B22" s="6">
        <v>45813</v>
      </c>
      <c r="C22" s="1" t="s">
        <v>5</v>
      </c>
      <c r="D22" s="1">
        <v>3750</v>
      </c>
      <c r="E22" s="1">
        <f t="shared" si="0"/>
        <v>375</v>
      </c>
      <c r="F22" s="1">
        <f t="shared" si="1"/>
        <v>3375</v>
      </c>
      <c r="G22" s="1" t="s">
        <v>16</v>
      </c>
      <c r="H22" s="1" t="s">
        <v>16</v>
      </c>
      <c r="I22" s="1">
        <v>50</v>
      </c>
      <c r="M22" s="1"/>
    </row>
    <row r="23" spans="1:13" x14ac:dyDescent="0.25">
      <c r="A23" s="1">
        <v>21</v>
      </c>
      <c r="B23" s="6">
        <v>45815</v>
      </c>
      <c r="C23" s="1" t="s">
        <v>5</v>
      </c>
      <c r="D23" s="1">
        <v>6950</v>
      </c>
      <c r="E23" s="1">
        <f t="shared" si="0"/>
        <v>695</v>
      </c>
      <c r="F23" s="1">
        <f t="shared" si="1"/>
        <v>6255</v>
      </c>
      <c r="G23" s="1" t="s">
        <v>16</v>
      </c>
      <c r="H23" s="1" t="s">
        <v>16</v>
      </c>
      <c r="I23" s="1">
        <v>90</v>
      </c>
      <c r="M23" s="1"/>
    </row>
    <row r="24" spans="1:13" x14ac:dyDescent="0.25">
      <c r="A24" s="1">
        <v>22</v>
      </c>
      <c r="B24" s="6">
        <v>45818</v>
      </c>
      <c r="C24" s="1" t="s">
        <v>5</v>
      </c>
      <c r="D24" s="1">
        <v>2900</v>
      </c>
      <c r="E24" s="1">
        <f t="shared" si="0"/>
        <v>290</v>
      </c>
      <c r="F24" s="1">
        <f t="shared" si="1"/>
        <v>2610</v>
      </c>
      <c r="G24" s="1" t="s">
        <v>16</v>
      </c>
      <c r="H24" s="1" t="s">
        <v>16</v>
      </c>
      <c r="I24" s="1">
        <v>40</v>
      </c>
      <c r="M24" s="1"/>
    </row>
    <row r="25" spans="1:13" x14ac:dyDescent="0.25">
      <c r="A25" s="1">
        <v>23</v>
      </c>
      <c r="B25" s="6">
        <v>45821</v>
      </c>
      <c r="C25" s="1" t="s">
        <v>78</v>
      </c>
      <c r="D25" s="1">
        <v>765</v>
      </c>
      <c r="E25" s="1">
        <f t="shared" si="0"/>
        <v>0</v>
      </c>
      <c r="F25" s="1">
        <f t="shared" si="1"/>
        <v>765</v>
      </c>
      <c r="G25" s="1" t="s">
        <v>9</v>
      </c>
      <c r="H25" s="1" t="s">
        <v>16</v>
      </c>
      <c r="I25" s="1">
        <v>9</v>
      </c>
    </row>
    <row r="26" spans="1:13" x14ac:dyDescent="0.25">
      <c r="A26" s="1">
        <v>24</v>
      </c>
      <c r="B26" s="6">
        <v>45821</v>
      </c>
      <c r="C26" s="1" t="s">
        <v>5</v>
      </c>
      <c r="D26" s="1">
        <v>2400</v>
      </c>
      <c r="E26" s="1">
        <f t="shared" si="0"/>
        <v>240</v>
      </c>
      <c r="F26" s="1">
        <f t="shared" si="1"/>
        <v>2160</v>
      </c>
      <c r="G26" s="1" t="s">
        <v>16</v>
      </c>
      <c r="H26" s="1" t="s">
        <v>16</v>
      </c>
      <c r="I26" s="1">
        <v>30</v>
      </c>
    </row>
    <row r="27" spans="1:13" x14ac:dyDescent="0.25">
      <c r="A27" s="1">
        <v>25</v>
      </c>
      <c r="B27" s="6">
        <v>45822</v>
      </c>
      <c r="C27" s="1" t="s">
        <v>5</v>
      </c>
      <c r="D27" s="1">
        <v>2900</v>
      </c>
      <c r="E27" s="1">
        <f t="shared" si="0"/>
        <v>290</v>
      </c>
      <c r="F27" s="1">
        <f t="shared" si="1"/>
        <v>2610</v>
      </c>
      <c r="G27" s="1" t="s">
        <v>16</v>
      </c>
      <c r="H27" s="1" t="s">
        <v>16</v>
      </c>
      <c r="I27" s="1">
        <v>40</v>
      </c>
    </row>
    <row r="28" spans="1:13" x14ac:dyDescent="0.25">
      <c r="A28" s="1">
        <v>26</v>
      </c>
      <c r="B28" s="6">
        <v>45823</v>
      </c>
      <c r="C28" s="1" t="s">
        <v>5</v>
      </c>
      <c r="D28" s="1">
        <v>3000</v>
      </c>
      <c r="E28" s="1">
        <f t="shared" si="0"/>
        <v>300</v>
      </c>
      <c r="F28" s="1">
        <f t="shared" si="1"/>
        <v>2700</v>
      </c>
      <c r="G28" s="1" t="s">
        <v>16</v>
      </c>
      <c r="H28" s="1" t="s">
        <v>16</v>
      </c>
      <c r="I28" s="1">
        <v>40</v>
      </c>
    </row>
    <row r="29" spans="1:13" x14ac:dyDescent="0.25">
      <c r="A29" s="1">
        <v>27</v>
      </c>
      <c r="B29" s="6">
        <v>45823</v>
      </c>
      <c r="C29" s="1" t="s">
        <v>5</v>
      </c>
      <c r="D29" s="1">
        <v>1500</v>
      </c>
      <c r="E29" s="1">
        <f t="shared" si="0"/>
        <v>150</v>
      </c>
      <c r="F29" s="1">
        <f t="shared" si="1"/>
        <v>1350</v>
      </c>
      <c r="G29" s="1" t="s">
        <v>16</v>
      </c>
      <c r="H29" s="1" t="s">
        <v>16</v>
      </c>
      <c r="I29" s="1">
        <v>20</v>
      </c>
    </row>
    <row r="30" spans="1:13" x14ac:dyDescent="0.25">
      <c r="A30" s="1">
        <v>28</v>
      </c>
      <c r="B30" s="6">
        <v>45824</v>
      </c>
      <c r="C30" s="1" t="s">
        <v>5</v>
      </c>
      <c r="D30" s="1">
        <v>6100</v>
      </c>
      <c r="E30" s="1">
        <f t="shared" si="0"/>
        <v>610</v>
      </c>
      <c r="F30" s="1">
        <f t="shared" si="1"/>
        <v>5490</v>
      </c>
      <c r="G30" s="1" t="s">
        <v>16</v>
      </c>
      <c r="H30" s="1" t="s">
        <v>16</v>
      </c>
      <c r="I30" s="1">
        <v>80</v>
      </c>
    </row>
    <row r="31" spans="1:13" x14ac:dyDescent="0.25">
      <c r="A31" s="1">
        <v>29</v>
      </c>
      <c r="B31" s="6">
        <v>45828</v>
      </c>
      <c r="C31" s="1" t="s">
        <v>5</v>
      </c>
      <c r="D31" s="1">
        <v>5150</v>
      </c>
      <c r="E31" s="1">
        <f t="shared" si="0"/>
        <v>515</v>
      </c>
      <c r="F31" s="1">
        <f t="shared" si="1"/>
        <v>4635</v>
      </c>
      <c r="G31" s="1" t="s">
        <v>16</v>
      </c>
      <c r="H31" s="1" t="s">
        <v>16</v>
      </c>
      <c r="I31" s="1">
        <v>70</v>
      </c>
    </row>
    <row r="32" spans="1:13" x14ac:dyDescent="0.25">
      <c r="A32" s="1">
        <v>30</v>
      </c>
      <c r="B32" s="6">
        <v>45829</v>
      </c>
      <c r="C32" s="1" t="s">
        <v>82</v>
      </c>
      <c r="D32" s="1">
        <v>400</v>
      </c>
      <c r="E32" s="1">
        <f t="shared" si="0"/>
        <v>0</v>
      </c>
      <c r="F32" s="1">
        <f t="shared" si="1"/>
        <v>400</v>
      </c>
      <c r="G32" s="1" t="s">
        <v>9</v>
      </c>
      <c r="H32" s="1" t="s">
        <v>16</v>
      </c>
      <c r="I32" s="1">
        <v>4</v>
      </c>
    </row>
    <row r="33" spans="1:14" x14ac:dyDescent="0.25">
      <c r="A33" s="1">
        <v>31</v>
      </c>
      <c r="B33" s="6">
        <v>45829</v>
      </c>
      <c r="C33" s="1" t="s">
        <v>83</v>
      </c>
      <c r="D33" s="1">
        <v>500</v>
      </c>
      <c r="E33" s="1">
        <f t="shared" si="0"/>
        <v>0</v>
      </c>
      <c r="F33" s="1">
        <f t="shared" si="1"/>
        <v>500</v>
      </c>
      <c r="G33" s="1" t="s">
        <v>9</v>
      </c>
      <c r="H33" s="1" t="s">
        <v>16</v>
      </c>
      <c r="I33" s="1">
        <v>5</v>
      </c>
    </row>
    <row r="34" spans="1:14" x14ac:dyDescent="0.25">
      <c r="A34" s="1">
        <v>32</v>
      </c>
      <c r="B34" s="6">
        <v>45830</v>
      </c>
      <c r="C34" s="1" t="s">
        <v>5</v>
      </c>
      <c r="D34" s="1">
        <v>3750</v>
      </c>
      <c r="E34" s="1">
        <f t="shared" si="0"/>
        <v>375</v>
      </c>
      <c r="F34" s="1">
        <f t="shared" si="1"/>
        <v>3375</v>
      </c>
      <c r="G34" s="1" t="s">
        <v>16</v>
      </c>
      <c r="H34" s="1" t="s">
        <v>16</v>
      </c>
      <c r="I34" s="1">
        <v>50</v>
      </c>
      <c r="K34">
        <f>J33 + SUMIF(C:C, "Round Global", D:D)</f>
        <v>303875</v>
      </c>
      <c r="L34">
        <f>J33 + SUMIF(C:C, "Round Global", I:I)</f>
        <v>3979</v>
      </c>
      <c r="N34">
        <f>SUMIFS(D82:D104, C82:C104, "Round Global*")</f>
        <v>56150</v>
      </c>
    </row>
    <row r="35" spans="1:14" x14ac:dyDescent="0.25">
      <c r="A35" s="1">
        <v>33</v>
      </c>
      <c r="B35" s="6">
        <v>45830</v>
      </c>
      <c r="C35" s="1" t="s">
        <v>5</v>
      </c>
      <c r="D35" s="1">
        <v>4400</v>
      </c>
      <c r="E35" s="1">
        <f t="shared" si="0"/>
        <v>440</v>
      </c>
      <c r="F35" s="1">
        <f t="shared" si="1"/>
        <v>3960</v>
      </c>
      <c r="G35" s="1" t="s">
        <v>16</v>
      </c>
      <c r="H35" s="1" t="s">
        <v>16</v>
      </c>
      <c r="I35" s="1">
        <v>60</v>
      </c>
    </row>
    <row r="36" spans="1:14" x14ac:dyDescent="0.25">
      <c r="A36" s="1">
        <v>34</v>
      </c>
      <c r="B36" s="6">
        <v>45834</v>
      </c>
      <c r="C36" s="1" t="s">
        <v>5</v>
      </c>
      <c r="D36" s="1">
        <v>4500</v>
      </c>
      <c r="E36" s="1">
        <f t="shared" si="0"/>
        <v>450</v>
      </c>
      <c r="F36" s="1">
        <f t="shared" si="1"/>
        <v>4050</v>
      </c>
      <c r="G36" s="1" t="s">
        <v>16</v>
      </c>
      <c r="H36" s="1" t="s">
        <v>16</v>
      </c>
      <c r="I36" s="1">
        <v>60</v>
      </c>
    </row>
    <row r="37" spans="1:14" x14ac:dyDescent="0.25">
      <c r="A37" s="1">
        <v>35</v>
      </c>
      <c r="B37" s="6">
        <v>45834</v>
      </c>
      <c r="C37" s="1" t="s">
        <v>85</v>
      </c>
      <c r="D37" s="1">
        <v>1300</v>
      </c>
      <c r="E37" s="1">
        <f t="shared" si="0"/>
        <v>0</v>
      </c>
      <c r="F37" s="1">
        <f t="shared" si="1"/>
        <v>1300</v>
      </c>
      <c r="G37" s="1" t="s">
        <v>9</v>
      </c>
      <c r="H37" s="1" t="s">
        <v>16</v>
      </c>
      <c r="I37" s="1">
        <v>15</v>
      </c>
    </row>
    <row r="38" spans="1:14" x14ac:dyDescent="0.25">
      <c r="A38" s="1">
        <v>36</v>
      </c>
      <c r="B38" s="6">
        <v>45836</v>
      </c>
      <c r="C38" s="1" t="s">
        <v>5</v>
      </c>
      <c r="D38" s="1">
        <v>2950</v>
      </c>
      <c r="E38" s="1">
        <f t="shared" si="0"/>
        <v>295</v>
      </c>
      <c r="F38" s="1">
        <f t="shared" si="1"/>
        <v>2655</v>
      </c>
      <c r="G38" s="1" t="s">
        <v>16</v>
      </c>
      <c r="H38" s="1" t="s">
        <v>16</v>
      </c>
      <c r="I38" s="1">
        <v>40</v>
      </c>
    </row>
    <row r="39" spans="1:14" x14ac:dyDescent="0.25">
      <c r="A39" s="1">
        <v>37</v>
      </c>
      <c r="B39" s="6">
        <v>45837</v>
      </c>
      <c r="C39" s="1" t="s">
        <v>5</v>
      </c>
      <c r="D39" s="1">
        <v>4500</v>
      </c>
      <c r="E39" s="1">
        <f t="shared" si="0"/>
        <v>450</v>
      </c>
      <c r="F39" s="1">
        <f t="shared" si="1"/>
        <v>4050</v>
      </c>
      <c r="G39" s="1" t="s">
        <v>16</v>
      </c>
      <c r="H39" s="1" t="s">
        <v>16</v>
      </c>
      <c r="I39" s="1">
        <v>60</v>
      </c>
    </row>
    <row r="40" spans="1:14" x14ac:dyDescent="0.25">
      <c r="A40" s="4" t="s">
        <v>86</v>
      </c>
      <c r="E40" s="1"/>
      <c r="F40" s="1"/>
      <c r="G40" s="1"/>
    </row>
    <row r="41" spans="1:14" x14ac:dyDescent="0.25">
      <c r="A41" s="1">
        <v>38</v>
      </c>
      <c r="B41" s="6">
        <v>45840</v>
      </c>
      <c r="C41" s="1" t="s">
        <v>5</v>
      </c>
      <c r="D41" s="1">
        <v>3700</v>
      </c>
      <c r="E41" s="1">
        <f t="shared" si="0"/>
        <v>370</v>
      </c>
      <c r="F41" s="1">
        <f t="shared" si="1"/>
        <v>3330</v>
      </c>
      <c r="G41" s="1" t="s">
        <v>16</v>
      </c>
      <c r="H41" s="1" t="s">
        <v>16</v>
      </c>
      <c r="I41" s="1">
        <v>50</v>
      </c>
    </row>
    <row r="42" spans="1:14" x14ac:dyDescent="0.25">
      <c r="A42" s="1">
        <v>39</v>
      </c>
      <c r="B42" s="6">
        <v>45841</v>
      </c>
      <c r="C42" s="1" t="s">
        <v>87</v>
      </c>
      <c r="D42" s="1">
        <v>600</v>
      </c>
      <c r="E42" s="1">
        <f t="shared" si="0"/>
        <v>0</v>
      </c>
      <c r="F42" s="1">
        <f t="shared" si="1"/>
        <v>600</v>
      </c>
      <c r="G42" s="1" t="s">
        <v>9</v>
      </c>
      <c r="H42" s="1" t="s">
        <v>16</v>
      </c>
      <c r="I42" s="1">
        <v>6</v>
      </c>
    </row>
    <row r="43" spans="1:14" x14ac:dyDescent="0.25">
      <c r="A43" s="1">
        <v>40</v>
      </c>
      <c r="B43" s="8">
        <v>45843</v>
      </c>
      <c r="C43" s="1" t="s">
        <v>5</v>
      </c>
      <c r="D43" s="1">
        <v>4400</v>
      </c>
      <c r="E43" s="1">
        <f t="shared" si="0"/>
        <v>440</v>
      </c>
      <c r="F43" s="1">
        <f t="shared" si="1"/>
        <v>3960</v>
      </c>
      <c r="G43" s="1" t="s">
        <v>16</v>
      </c>
      <c r="H43" s="1" t="s">
        <v>16</v>
      </c>
      <c r="I43" s="1">
        <v>60</v>
      </c>
      <c r="K43">
        <f>SUM(I41:I53)</f>
        <v>624</v>
      </c>
    </row>
    <row r="44" spans="1:14" x14ac:dyDescent="0.25">
      <c r="A44" s="1">
        <v>41</v>
      </c>
      <c r="B44" s="8">
        <v>45843</v>
      </c>
      <c r="C44" s="1" t="s">
        <v>5</v>
      </c>
      <c r="D44" s="1">
        <v>4600</v>
      </c>
      <c r="E44" s="1">
        <f t="shared" si="0"/>
        <v>460</v>
      </c>
      <c r="F44" s="1">
        <f t="shared" si="1"/>
        <v>4140</v>
      </c>
      <c r="G44" s="1" t="s">
        <v>16</v>
      </c>
      <c r="H44" s="1" t="s">
        <v>16</v>
      </c>
      <c r="I44" s="1">
        <v>60</v>
      </c>
    </row>
    <row r="45" spans="1:14" x14ac:dyDescent="0.25">
      <c r="A45" s="1">
        <v>42</v>
      </c>
      <c r="B45" s="6">
        <v>45848</v>
      </c>
      <c r="C45" s="1" t="s">
        <v>5</v>
      </c>
      <c r="D45" s="1">
        <v>5800</v>
      </c>
      <c r="E45" s="1">
        <f t="shared" si="0"/>
        <v>580</v>
      </c>
      <c r="F45" s="1">
        <f t="shared" si="1"/>
        <v>5220</v>
      </c>
      <c r="G45" s="1" t="s">
        <v>16</v>
      </c>
      <c r="H45" s="1" t="s">
        <v>16</v>
      </c>
      <c r="I45" s="1">
        <v>80</v>
      </c>
    </row>
    <row r="46" spans="1:14" x14ac:dyDescent="0.25">
      <c r="A46" s="1">
        <v>43</v>
      </c>
      <c r="B46" s="6">
        <v>45850</v>
      </c>
      <c r="C46" s="1" t="s">
        <v>5</v>
      </c>
      <c r="D46" s="1">
        <v>3050</v>
      </c>
      <c r="E46" s="1">
        <f t="shared" si="0"/>
        <v>305</v>
      </c>
      <c r="F46" s="1">
        <f t="shared" si="1"/>
        <v>2745</v>
      </c>
      <c r="G46" s="1" t="s">
        <v>16</v>
      </c>
      <c r="H46" s="1" t="s">
        <v>16</v>
      </c>
      <c r="I46" s="1">
        <v>40</v>
      </c>
    </row>
    <row r="47" spans="1:14" x14ac:dyDescent="0.25">
      <c r="A47" s="1">
        <v>44</v>
      </c>
      <c r="B47" s="6">
        <v>45852</v>
      </c>
      <c r="C47" s="1" t="s">
        <v>5</v>
      </c>
      <c r="D47" s="1">
        <v>3050</v>
      </c>
      <c r="E47" s="1">
        <f t="shared" si="0"/>
        <v>305</v>
      </c>
      <c r="F47" s="1">
        <f t="shared" si="1"/>
        <v>2745</v>
      </c>
      <c r="G47" s="1" t="s">
        <v>16</v>
      </c>
      <c r="H47" s="1" t="s">
        <v>16</v>
      </c>
      <c r="I47" s="1">
        <v>40</v>
      </c>
    </row>
    <row r="48" spans="1:14" x14ac:dyDescent="0.25">
      <c r="A48" s="1">
        <v>45</v>
      </c>
      <c r="B48" s="6">
        <v>45853</v>
      </c>
      <c r="C48" s="1" t="s">
        <v>5</v>
      </c>
      <c r="D48" s="1">
        <v>7400</v>
      </c>
      <c r="E48" s="1">
        <f t="shared" si="0"/>
        <v>740</v>
      </c>
      <c r="F48" s="1">
        <f t="shared" si="1"/>
        <v>6660</v>
      </c>
      <c r="G48" s="1" t="s">
        <v>16</v>
      </c>
      <c r="H48" s="1" t="s">
        <v>16</v>
      </c>
      <c r="I48" s="1">
        <v>100</v>
      </c>
    </row>
    <row r="49" spans="1:12" x14ac:dyDescent="0.25">
      <c r="A49" s="1">
        <v>46</v>
      </c>
      <c r="B49" s="6">
        <v>45854</v>
      </c>
      <c r="C49" s="1" t="s">
        <v>95</v>
      </c>
      <c r="D49" s="1">
        <v>900</v>
      </c>
      <c r="E49" s="1">
        <f t="shared" si="0"/>
        <v>0</v>
      </c>
      <c r="F49" s="1">
        <f t="shared" si="1"/>
        <v>900</v>
      </c>
      <c r="G49" s="1" t="s">
        <v>9</v>
      </c>
      <c r="H49" s="1" t="s">
        <v>16</v>
      </c>
      <c r="I49" s="1">
        <v>9</v>
      </c>
      <c r="L49" s="1"/>
    </row>
    <row r="50" spans="1:12" x14ac:dyDescent="0.25">
      <c r="A50" s="1">
        <v>47</v>
      </c>
      <c r="B50" s="6">
        <v>45855</v>
      </c>
      <c r="C50" s="1" t="s">
        <v>5</v>
      </c>
      <c r="D50" s="1">
        <v>3700</v>
      </c>
      <c r="E50" s="1">
        <f t="shared" si="0"/>
        <v>370</v>
      </c>
      <c r="F50" s="1">
        <f t="shared" si="1"/>
        <v>3330</v>
      </c>
      <c r="G50" s="1" t="s">
        <v>16</v>
      </c>
      <c r="H50" s="1" t="s">
        <v>16</v>
      </c>
      <c r="I50" s="1">
        <v>50</v>
      </c>
    </row>
    <row r="51" spans="1:12" x14ac:dyDescent="0.25">
      <c r="A51" s="1">
        <v>48</v>
      </c>
      <c r="B51" s="6">
        <v>45856</v>
      </c>
      <c r="C51" s="1" t="s">
        <v>5</v>
      </c>
      <c r="D51" s="1">
        <v>3700</v>
      </c>
      <c r="E51" s="1">
        <f t="shared" si="0"/>
        <v>370</v>
      </c>
      <c r="F51" s="1">
        <f t="shared" si="1"/>
        <v>3330</v>
      </c>
      <c r="G51" s="1" t="s">
        <v>16</v>
      </c>
      <c r="H51" s="1" t="s">
        <v>16</v>
      </c>
      <c r="I51" s="1">
        <v>50</v>
      </c>
    </row>
    <row r="52" spans="1:12" x14ac:dyDescent="0.25">
      <c r="A52" s="1">
        <v>49</v>
      </c>
      <c r="B52" s="6">
        <v>45857</v>
      </c>
      <c r="C52" s="1" t="s">
        <v>5</v>
      </c>
      <c r="D52" s="1">
        <v>5300</v>
      </c>
      <c r="E52" s="1">
        <f t="shared" si="0"/>
        <v>530</v>
      </c>
      <c r="F52" s="1">
        <f t="shared" si="1"/>
        <v>4770</v>
      </c>
      <c r="G52" s="1" t="s">
        <v>16</v>
      </c>
      <c r="H52" s="1" t="s">
        <v>16</v>
      </c>
      <c r="I52" s="1">
        <v>70</v>
      </c>
    </row>
    <row r="53" spans="1:12" x14ac:dyDescent="0.25">
      <c r="A53" s="1">
        <v>50</v>
      </c>
      <c r="B53" s="6">
        <v>45857</v>
      </c>
      <c r="C53" s="1" t="s">
        <v>96</v>
      </c>
      <c r="D53" s="1">
        <v>900</v>
      </c>
      <c r="E53" s="1">
        <f t="shared" si="0"/>
        <v>0</v>
      </c>
      <c r="F53" s="1">
        <f t="shared" si="1"/>
        <v>900</v>
      </c>
      <c r="G53" s="1" t="s">
        <v>9</v>
      </c>
      <c r="H53" s="1" t="s">
        <v>16</v>
      </c>
      <c r="I53" s="1">
        <v>9</v>
      </c>
    </row>
    <row r="54" spans="1:12" x14ac:dyDescent="0.25">
      <c r="A54" s="1">
        <v>51</v>
      </c>
      <c r="B54" s="6">
        <v>45864</v>
      </c>
      <c r="C54" s="1" t="s">
        <v>5</v>
      </c>
      <c r="D54" s="1">
        <v>4300</v>
      </c>
      <c r="E54" s="1">
        <f t="shared" si="0"/>
        <v>430</v>
      </c>
      <c r="F54" s="1">
        <f t="shared" si="1"/>
        <v>3870</v>
      </c>
      <c r="G54" s="1" t="s">
        <v>16</v>
      </c>
      <c r="H54" s="1" t="s">
        <v>16</v>
      </c>
      <c r="I54" s="1">
        <v>60</v>
      </c>
    </row>
    <row r="55" spans="1:12" x14ac:dyDescent="0.25">
      <c r="A55" s="1">
        <v>52</v>
      </c>
      <c r="B55" s="6">
        <v>45866</v>
      </c>
      <c r="C55" s="1" t="s">
        <v>5</v>
      </c>
      <c r="D55" s="1">
        <v>7400</v>
      </c>
      <c r="E55" s="1">
        <f t="shared" si="0"/>
        <v>740</v>
      </c>
      <c r="F55" s="1">
        <f t="shared" si="1"/>
        <v>6660</v>
      </c>
      <c r="G55" s="1" t="s">
        <v>16</v>
      </c>
      <c r="H55" s="1" t="s">
        <v>101</v>
      </c>
      <c r="I55" s="1">
        <v>100</v>
      </c>
      <c r="L55" s="1"/>
    </row>
    <row r="56" spans="1:12" x14ac:dyDescent="0.25">
      <c r="A56" s="1">
        <v>53</v>
      </c>
      <c r="B56" s="6">
        <v>45868</v>
      </c>
      <c r="C56" s="1" t="s">
        <v>5</v>
      </c>
      <c r="D56" s="1">
        <v>1100</v>
      </c>
      <c r="E56" s="1">
        <f t="shared" si="0"/>
        <v>0</v>
      </c>
      <c r="F56" s="1">
        <f t="shared" si="1"/>
        <v>1100</v>
      </c>
      <c r="G56" s="1" t="s">
        <v>9</v>
      </c>
      <c r="H56" s="1" t="s">
        <v>16</v>
      </c>
      <c r="I56" s="1">
        <v>10</v>
      </c>
    </row>
    <row r="57" spans="1:12" x14ac:dyDescent="0.25">
      <c r="A57" s="1">
        <v>54</v>
      </c>
      <c r="B57" s="6">
        <v>45868</v>
      </c>
      <c r="C57" s="1" t="s">
        <v>5</v>
      </c>
      <c r="D57" s="1">
        <v>1000</v>
      </c>
      <c r="E57" s="1">
        <f t="shared" si="0"/>
        <v>0</v>
      </c>
      <c r="F57" s="1">
        <f t="shared" si="1"/>
        <v>1000</v>
      </c>
      <c r="G57" s="1" t="s">
        <v>9</v>
      </c>
      <c r="H57" s="1" t="s">
        <v>16</v>
      </c>
      <c r="I57" s="1">
        <v>9</v>
      </c>
    </row>
    <row r="58" spans="1:12" x14ac:dyDescent="0.25">
      <c r="A58" s="4" t="s">
        <v>100</v>
      </c>
      <c r="B58" s="1"/>
      <c r="E58" s="1"/>
      <c r="F58" s="1"/>
    </row>
    <row r="59" spans="1:12" x14ac:dyDescent="0.25">
      <c r="A59" s="1">
        <v>55</v>
      </c>
      <c r="B59" s="6">
        <v>45871</v>
      </c>
      <c r="C59" s="1" t="s">
        <v>5</v>
      </c>
      <c r="D59" s="1">
        <v>7500</v>
      </c>
      <c r="E59" s="1">
        <f t="shared" si="0"/>
        <v>750</v>
      </c>
      <c r="F59" s="1">
        <f t="shared" si="1"/>
        <v>6750</v>
      </c>
      <c r="G59" s="1" t="s">
        <v>16</v>
      </c>
      <c r="H59" s="1" t="s">
        <v>16</v>
      </c>
      <c r="I59" s="1">
        <v>100</v>
      </c>
    </row>
    <row r="60" spans="1:12" x14ac:dyDescent="0.25">
      <c r="A60" s="1">
        <v>56</v>
      </c>
      <c r="B60" s="6">
        <v>45876</v>
      </c>
      <c r="C60" s="1" t="s">
        <v>5</v>
      </c>
      <c r="D60" s="1">
        <v>6000</v>
      </c>
      <c r="E60" s="1">
        <f t="shared" si="0"/>
        <v>600</v>
      </c>
      <c r="F60" s="1">
        <f t="shared" si="1"/>
        <v>5400</v>
      </c>
      <c r="G60" s="1" t="s">
        <v>16</v>
      </c>
      <c r="H60" s="1" t="s">
        <v>16</v>
      </c>
      <c r="I60" s="1">
        <v>80</v>
      </c>
    </row>
    <row r="61" spans="1:12" x14ac:dyDescent="0.25">
      <c r="A61" s="1">
        <v>57</v>
      </c>
      <c r="B61" s="6">
        <v>45879</v>
      </c>
      <c r="C61" s="1" t="s">
        <v>5</v>
      </c>
      <c r="D61" s="1">
        <v>4500</v>
      </c>
      <c r="E61" s="1">
        <f t="shared" si="0"/>
        <v>450</v>
      </c>
      <c r="F61" s="1">
        <f t="shared" si="1"/>
        <v>4050</v>
      </c>
      <c r="G61" s="1" t="s">
        <v>16</v>
      </c>
      <c r="H61" s="1" t="s">
        <v>16</v>
      </c>
      <c r="I61" s="1">
        <v>60</v>
      </c>
    </row>
    <row r="62" spans="1:12" x14ac:dyDescent="0.25">
      <c r="A62" s="1">
        <v>58</v>
      </c>
      <c r="B62" s="6">
        <v>45880</v>
      </c>
      <c r="C62" s="1" t="s">
        <v>5</v>
      </c>
      <c r="D62" s="1">
        <v>4500</v>
      </c>
      <c r="E62" s="1">
        <f t="shared" si="0"/>
        <v>450</v>
      </c>
      <c r="F62" s="1">
        <f t="shared" si="1"/>
        <v>4050</v>
      </c>
      <c r="G62" s="1" t="s">
        <v>16</v>
      </c>
      <c r="H62" s="1" t="s">
        <v>16</v>
      </c>
      <c r="I62" s="1">
        <v>60</v>
      </c>
    </row>
    <row r="63" spans="1:12" x14ac:dyDescent="0.25">
      <c r="A63" s="1">
        <v>59</v>
      </c>
      <c r="B63" s="6">
        <v>45885</v>
      </c>
      <c r="C63" s="1" t="s">
        <v>5</v>
      </c>
      <c r="D63" s="1">
        <v>4500</v>
      </c>
      <c r="E63" s="1">
        <f t="shared" si="0"/>
        <v>450</v>
      </c>
      <c r="F63" s="1">
        <f t="shared" si="1"/>
        <v>4050</v>
      </c>
      <c r="G63" s="1" t="s">
        <v>16</v>
      </c>
      <c r="H63" s="1" t="s">
        <v>16</v>
      </c>
      <c r="I63" s="1">
        <v>60</v>
      </c>
    </row>
    <row r="64" spans="1:12" x14ac:dyDescent="0.25">
      <c r="A64" s="1">
        <v>60</v>
      </c>
      <c r="B64" s="6">
        <v>45886</v>
      </c>
      <c r="C64" s="1" t="s">
        <v>103</v>
      </c>
      <c r="D64" s="1">
        <v>2500</v>
      </c>
      <c r="E64" s="1">
        <f t="shared" si="0"/>
        <v>0</v>
      </c>
      <c r="F64" s="1">
        <f t="shared" si="1"/>
        <v>2500</v>
      </c>
      <c r="G64" s="1" t="s">
        <v>9</v>
      </c>
      <c r="H64" s="1" t="s">
        <v>16</v>
      </c>
      <c r="I64" s="1" t="s">
        <v>104</v>
      </c>
    </row>
    <row r="65" spans="1:9" x14ac:dyDescent="0.25">
      <c r="A65" s="1">
        <v>61</v>
      </c>
      <c r="B65" s="6">
        <v>45889</v>
      </c>
      <c r="C65" s="1" t="s">
        <v>5</v>
      </c>
      <c r="D65" s="1">
        <v>5900</v>
      </c>
      <c r="E65" s="1">
        <f t="shared" si="0"/>
        <v>590</v>
      </c>
      <c r="F65" s="1">
        <f t="shared" si="1"/>
        <v>5310</v>
      </c>
      <c r="G65" s="1" t="s">
        <v>16</v>
      </c>
      <c r="H65" s="1" t="s">
        <v>16</v>
      </c>
      <c r="I65" s="1">
        <v>80</v>
      </c>
    </row>
    <row r="66" spans="1:9" x14ac:dyDescent="0.25">
      <c r="A66" s="1">
        <v>62</v>
      </c>
      <c r="B66" s="6">
        <v>45892</v>
      </c>
      <c r="C66" s="1" t="s">
        <v>5</v>
      </c>
      <c r="D66" s="1">
        <v>4500</v>
      </c>
      <c r="E66" s="1">
        <f t="shared" si="0"/>
        <v>450</v>
      </c>
      <c r="F66" s="1">
        <f t="shared" si="1"/>
        <v>4050</v>
      </c>
      <c r="G66" s="1" t="s">
        <v>16</v>
      </c>
      <c r="H66" s="1" t="s">
        <v>16</v>
      </c>
      <c r="I66" s="1">
        <v>60</v>
      </c>
    </row>
    <row r="67" spans="1:9" x14ac:dyDescent="0.25">
      <c r="A67" s="1">
        <v>63</v>
      </c>
      <c r="B67" s="6">
        <v>45892</v>
      </c>
      <c r="C67" s="1" t="s">
        <v>87</v>
      </c>
      <c r="D67" s="1">
        <v>1020</v>
      </c>
      <c r="E67" s="1">
        <f t="shared" si="0"/>
        <v>0</v>
      </c>
      <c r="F67" s="1">
        <f t="shared" si="1"/>
        <v>1020</v>
      </c>
      <c r="G67" s="1" t="s">
        <v>9</v>
      </c>
      <c r="H67" s="1" t="s">
        <v>16</v>
      </c>
      <c r="I67" s="1">
        <v>12</v>
      </c>
    </row>
    <row r="68" spans="1:9" x14ac:dyDescent="0.25">
      <c r="A68" s="1">
        <v>64</v>
      </c>
      <c r="B68" s="6">
        <v>45894</v>
      </c>
      <c r="C68" s="1" t="s">
        <v>5</v>
      </c>
      <c r="D68" s="1">
        <v>4500</v>
      </c>
      <c r="E68" s="1">
        <f t="shared" si="0"/>
        <v>450</v>
      </c>
      <c r="F68" s="1">
        <f t="shared" si="1"/>
        <v>4050</v>
      </c>
      <c r="G68" s="1" t="s">
        <v>16</v>
      </c>
      <c r="H68" s="1" t="s">
        <v>16</v>
      </c>
      <c r="I68" s="1">
        <v>60</v>
      </c>
    </row>
    <row r="69" spans="1:9" x14ac:dyDescent="0.25">
      <c r="A69" s="1">
        <v>65</v>
      </c>
      <c r="B69" s="6">
        <v>45897</v>
      </c>
      <c r="C69" s="1" t="s">
        <v>5</v>
      </c>
      <c r="D69" s="1">
        <v>9000</v>
      </c>
      <c r="E69" s="1">
        <f t="shared" si="0"/>
        <v>900</v>
      </c>
      <c r="F69" s="1">
        <f t="shared" si="1"/>
        <v>8100</v>
      </c>
      <c r="G69" s="1" t="s">
        <v>16</v>
      </c>
      <c r="H69" s="1" t="s">
        <v>16</v>
      </c>
      <c r="I69" s="1">
        <v>120</v>
      </c>
    </row>
    <row r="70" spans="1:9" x14ac:dyDescent="0.25">
      <c r="A70" s="1">
        <v>66</v>
      </c>
      <c r="B70" s="6">
        <v>45897</v>
      </c>
      <c r="C70" s="1" t="s">
        <v>5</v>
      </c>
      <c r="D70" s="1">
        <v>6000</v>
      </c>
      <c r="E70" s="1">
        <f t="shared" si="0"/>
        <v>600</v>
      </c>
      <c r="F70" s="1">
        <f t="shared" si="1"/>
        <v>5400</v>
      </c>
      <c r="G70" s="1" t="s">
        <v>16</v>
      </c>
      <c r="H70" s="1" t="s">
        <v>16</v>
      </c>
      <c r="I70" s="1">
        <v>80</v>
      </c>
    </row>
    <row r="71" spans="1:9" x14ac:dyDescent="0.25">
      <c r="A71" s="4" t="s">
        <v>105</v>
      </c>
      <c r="B71" s="1"/>
      <c r="E71" s="1"/>
      <c r="F71" s="1"/>
      <c r="G71" s="1"/>
      <c r="H71" s="1"/>
    </row>
    <row r="72" spans="1:9" x14ac:dyDescent="0.25">
      <c r="A72" s="1">
        <v>67</v>
      </c>
      <c r="B72" s="6">
        <v>45902</v>
      </c>
      <c r="C72" s="1" t="s">
        <v>5</v>
      </c>
      <c r="D72" s="1">
        <v>5800</v>
      </c>
      <c r="E72" s="1">
        <f t="shared" ref="E72:E80" si="2">IF(G72="No", D72*0, D72*0.1)</f>
        <v>580</v>
      </c>
      <c r="F72" s="1">
        <f t="shared" ref="F72:F80" si="3">IF(G72="No", D72*1, D72*0.9)</f>
        <v>5220</v>
      </c>
      <c r="G72" s="1" t="s">
        <v>16</v>
      </c>
      <c r="H72" s="1" t="s">
        <v>16</v>
      </c>
      <c r="I72" s="1">
        <v>80</v>
      </c>
    </row>
    <row r="73" spans="1:9" x14ac:dyDescent="0.25">
      <c r="A73" s="1">
        <v>68</v>
      </c>
      <c r="B73" s="6">
        <v>45905</v>
      </c>
      <c r="C73" s="1" t="s">
        <v>5</v>
      </c>
      <c r="D73" s="1">
        <v>11250</v>
      </c>
      <c r="E73" s="1">
        <f t="shared" si="2"/>
        <v>1125</v>
      </c>
      <c r="F73" s="1">
        <f t="shared" si="3"/>
        <v>10125</v>
      </c>
      <c r="G73" s="1" t="s">
        <v>16</v>
      </c>
      <c r="H73" s="1" t="s">
        <v>16</v>
      </c>
      <c r="I73" s="1">
        <v>150</v>
      </c>
    </row>
    <row r="74" spans="1:9" x14ac:dyDescent="0.25">
      <c r="A74" s="1">
        <v>69</v>
      </c>
      <c r="B74" s="6">
        <v>45915</v>
      </c>
      <c r="C74" s="1" t="s">
        <v>5</v>
      </c>
      <c r="D74" s="1">
        <v>2900</v>
      </c>
      <c r="E74" s="1">
        <f t="shared" si="2"/>
        <v>290</v>
      </c>
      <c r="F74" s="1">
        <f t="shared" si="3"/>
        <v>2610</v>
      </c>
      <c r="G74" s="1" t="s">
        <v>16</v>
      </c>
      <c r="H74" s="1" t="s">
        <v>16</v>
      </c>
      <c r="I74" s="1">
        <v>40</v>
      </c>
    </row>
    <row r="75" spans="1:9" x14ac:dyDescent="0.25">
      <c r="A75" s="1">
        <v>70</v>
      </c>
      <c r="B75" s="6">
        <v>45918</v>
      </c>
      <c r="C75" s="1" t="s">
        <v>5</v>
      </c>
      <c r="D75" s="1">
        <v>4500</v>
      </c>
      <c r="E75" s="1">
        <f t="shared" si="2"/>
        <v>450</v>
      </c>
      <c r="F75" s="1">
        <f t="shared" si="3"/>
        <v>4050</v>
      </c>
      <c r="G75" s="1" t="s">
        <v>16</v>
      </c>
      <c r="H75" s="1" t="s">
        <v>16</v>
      </c>
      <c r="I75" s="1">
        <v>60</v>
      </c>
    </row>
    <row r="76" spans="1:9" x14ac:dyDescent="0.25">
      <c r="A76" s="1">
        <v>71</v>
      </c>
      <c r="B76" s="6">
        <v>45920</v>
      </c>
      <c r="C76" s="1" t="s">
        <v>5</v>
      </c>
      <c r="D76" s="1">
        <v>4500</v>
      </c>
      <c r="E76" s="1">
        <f t="shared" si="2"/>
        <v>450</v>
      </c>
      <c r="F76" s="1">
        <f t="shared" si="3"/>
        <v>4050</v>
      </c>
      <c r="G76" s="1" t="s">
        <v>16</v>
      </c>
      <c r="H76" s="1" t="s">
        <v>16</v>
      </c>
      <c r="I76" s="1">
        <v>60</v>
      </c>
    </row>
    <row r="77" spans="1:9" x14ac:dyDescent="0.25">
      <c r="A77" s="1">
        <v>72</v>
      </c>
      <c r="B77" s="6">
        <v>45922</v>
      </c>
      <c r="C77" s="1" t="s">
        <v>5</v>
      </c>
      <c r="D77" s="1">
        <v>4500</v>
      </c>
      <c r="E77" s="1">
        <f t="shared" si="2"/>
        <v>450</v>
      </c>
      <c r="F77" s="1">
        <f t="shared" si="3"/>
        <v>4050</v>
      </c>
      <c r="G77" s="1" t="s">
        <v>16</v>
      </c>
      <c r="H77" s="1" t="s">
        <v>16</v>
      </c>
      <c r="I77" s="1">
        <v>60</v>
      </c>
    </row>
    <row r="78" spans="1:9" x14ac:dyDescent="0.25">
      <c r="A78" s="1">
        <v>73</v>
      </c>
      <c r="B78" s="6">
        <v>45924</v>
      </c>
      <c r="C78" s="1" t="s">
        <v>5</v>
      </c>
      <c r="D78" s="1">
        <v>9000</v>
      </c>
      <c r="E78" s="1">
        <f t="shared" si="2"/>
        <v>900</v>
      </c>
      <c r="F78" s="1">
        <f t="shared" si="3"/>
        <v>8100</v>
      </c>
      <c r="G78" s="1" t="s">
        <v>16</v>
      </c>
      <c r="H78" s="1" t="s">
        <v>16</v>
      </c>
      <c r="I78" s="1">
        <v>120</v>
      </c>
    </row>
    <row r="79" spans="1:9" x14ac:dyDescent="0.25">
      <c r="A79" s="1">
        <v>74</v>
      </c>
      <c r="B79" s="6">
        <v>45926</v>
      </c>
      <c r="C79" s="1" t="s">
        <v>108</v>
      </c>
      <c r="D79" s="1">
        <v>1890</v>
      </c>
      <c r="E79" s="1">
        <f t="shared" si="2"/>
        <v>189</v>
      </c>
      <c r="F79" s="1">
        <f t="shared" si="3"/>
        <v>1701</v>
      </c>
      <c r="G79" s="1" t="s">
        <v>16</v>
      </c>
      <c r="H79" s="1" t="s">
        <v>16</v>
      </c>
      <c r="I79" s="1">
        <v>27</v>
      </c>
    </row>
    <row r="80" spans="1:9" x14ac:dyDescent="0.25">
      <c r="A80" s="1">
        <v>75</v>
      </c>
      <c r="B80" s="6">
        <v>45927</v>
      </c>
      <c r="C80" s="1" t="s">
        <v>108</v>
      </c>
      <c r="D80" s="1">
        <v>4900</v>
      </c>
      <c r="E80" s="1">
        <f t="shared" si="2"/>
        <v>490</v>
      </c>
      <c r="F80" s="1">
        <f t="shared" si="3"/>
        <v>4410</v>
      </c>
      <c r="G80" s="1" t="s">
        <v>16</v>
      </c>
      <c r="H80" s="1" t="s">
        <v>16</v>
      </c>
      <c r="I80" s="1">
        <v>70</v>
      </c>
    </row>
    <row r="81" spans="1:9" x14ac:dyDescent="0.25">
      <c r="A81" s="4" t="s">
        <v>109</v>
      </c>
      <c r="B81" s="1"/>
    </row>
    <row r="82" spans="1:9" x14ac:dyDescent="0.25">
      <c r="A82" s="1">
        <v>76</v>
      </c>
      <c r="B82" s="6">
        <v>45931</v>
      </c>
      <c r="C82" s="1" t="s">
        <v>108</v>
      </c>
      <c r="D82" s="1">
        <v>2520</v>
      </c>
      <c r="E82" s="1">
        <f t="shared" ref="E82:E89" si="4">IF(G82="No", D82*0, D82*0.1)</f>
        <v>252</v>
      </c>
      <c r="F82" s="1">
        <f t="shared" ref="F82:F89" si="5">IF(G82="No", D82*1, D82*0.9)</f>
        <v>2268</v>
      </c>
      <c r="G82" s="1" t="s">
        <v>16</v>
      </c>
      <c r="H82" s="1" t="s">
        <v>16</v>
      </c>
      <c r="I82" s="1">
        <v>36</v>
      </c>
    </row>
    <row r="83" spans="1:9" x14ac:dyDescent="0.25">
      <c r="A83" s="1">
        <v>77</v>
      </c>
      <c r="B83" s="6">
        <v>45931</v>
      </c>
      <c r="C83" s="1" t="s">
        <v>5</v>
      </c>
      <c r="D83" s="1">
        <v>3700</v>
      </c>
      <c r="E83" s="1">
        <f t="shared" si="4"/>
        <v>370</v>
      </c>
      <c r="F83" s="1">
        <f t="shared" si="5"/>
        <v>3330</v>
      </c>
      <c r="G83" s="1" t="s">
        <v>16</v>
      </c>
      <c r="H83" s="1" t="s">
        <v>16</v>
      </c>
      <c r="I83" s="1">
        <v>50</v>
      </c>
    </row>
    <row r="84" spans="1:9" x14ac:dyDescent="0.25">
      <c r="A84" s="1">
        <v>78</v>
      </c>
      <c r="B84" s="6">
        <v>45932</v>
      </c>
      <c r="C84" s="1" t="s">
        <v>5</v>
      </c>
      <c r="D84" s="1">
        <v>3700</v>
      </c>
      <c r="E84" s="1">
        <f t="shared" si="4"/>
        <v>370</v>
      </c>
      <c r="F84" s="1">
        <f t="shared" si="5"/>
        <v>3330</v>
      </c>
      <c r="G84" s="1" t="s">
        <v>16</v>
      </c>
      <c r="H84" s="1" t="s">
        <v>16</v>
      </c>
      <c r="I84" s="1">
        <v>50</v>
      </c>
    </row>
    <row r="85" spans="1:9" x14ac:dyDescent="0.25">
      <c r="A85" s="1">
        <v>79</v>
      </c>
      <c r="B85" s="6">
        <v>45933</v>
      </c>
      <c r="C85" s="1" t="s">
        <v>5</v>
      </c>
      <c r="D85" s="1">
        <v>9000</v>
      </c>
      <c r="E85" s="1">
        <f t="shared" si="4"/>
        <v>900</v>
      </c>
      <c r="F85" s="1">
        <f t="shared" si="5"/>
        <v>8100</v>
      </c>
      <c r="G85" s="1" t="s">
        <v>16</v>
      </c>
      <c r="H85" s="1" t="s">
        <v>16</v>
      </c>
      <c r="I85" s="1">
        <v>120</v>
      </c>
    </row>
    <row r="86" spans="1:9" x14ac:dyDescent="0.25">
      <c r="A86" s="1">
        <v>80</v>
      </c>
      <c r="B86" s="6">
        <v>45933</v>
      </c>
      <c r="C86" s="1" t="s">
        <v>108</v>
      </c>
      <c r="D86" s="1">
        <v>2520</v>
      </c>
      <c r="E86" s="1">
        <f t="shared" si="4"/>
        <v>252</v>
      </c>
      <c r="F86" s="1">
        <f t="shared" si="5"/>
        <v>2268</v>
      </c>
      <c r="G86" s="1" t="s">
        <v>16</v>
      </c>
      <c r="H86" s="1" t="s">
        <v>16</v>
      </c>
      <c r="I86" s="1">
        <v>36</v>
      </c>
    </row>
    <row r="87" spans="1:9" x14ac:dyDescent="0.25">
      <c r="A87" s="1">
        <v>81</v>
      </c>
      <c r="B87" s="6">
        <v>45934</v>
      </c>
      <c r="C87" s="1" t="s">
        <v>111</v>
      </c>
      <c r="D87" s="1">
        <v>900</v>
      </c>
      <c r="E87" s="1">
        <f t="shared" si="4"/>
        <v>90</v>
      </c>
      <c r="F87" s="1">
        <f t="shared" si="5"/>
        <v>810</v>
      </c>
      <c r="G87" s="1" t="s">
        <v>16</v>
      </c>
      <c r="H87" s="1" t="s">
        <v>16</v>
      </c>
      <c r="I87" s="1">
        <v>6</v>
      </c>
    </row>
    <row r="88" spans="1:9" x14ac:dyDescent="0.25">
      <c r="A88" s="1">
        <v>82</v>
      </c>
      <c r="B88" s="6">
        <v>45935</v>
      </c>
      <c r="C88" s="1" t="s">
        <v>108</v>
      </c>
      <c r="D88" s="1">
        <v>2520</v>
      </c>
      <c r="E88" s="1">
        <f t="shared" si="4"/>
        <v>252</v>
      </c>
      <c r="F88" s="1">
        <f t="shared" si="5"/>
        <v>2268</v>
      </c>
      <c r="G88" s="1" t="s">
        <v>16</v>
      </c>
      <c r="H88" s="1" t="s">
        <v>16</v>
      </c>
      <c r="I88" s="1">
        <v>36</v>
      </c>
    </row>
    <row r="89" spans="1:9" x14ac:dyDescent="0.25">
      <c r="A89" s="1">
        <v>83</v>
      </c>
      <c r="B89" s="6">
        <v>45938</v>
      </c>
      <c r="C89" s="1" t="s">
        <v>108</v>
      </c>
      <c r="D89" s="1">
        <v>2520</v>
      </c>
      <c r="E89" s="1">
        <f t="shared" si="4"/>
        <v>252</v>
      </c>
      <c r="F89" s="1">
        <f t="shared" si="5"/>
        <v>2268</v>
      </c>
      <c r="G89" s="1" t="s">
        <v>16</v>
      </c>
      <c r="H89" s="1" t="s">
        <v>16</v>
      </c>
      <c r="I89" s="1">
        <v>36</v>
      </c>
    </row>
    <row r="90" spans="1:9" x14ac:dyDescent="0.25">
      <c r="A90" s="1">
        <v>84</v>
      </c>
      <c r="B90" s="6">
        <v>45939</v>
      </c>
      <c r="C90" s="1" t="s">
        <v>5</v>
      </c>
      <c r="D90" s="1">
        <v>3800</v>
      </c>
      <c r="E90" s="1">
        <f t="shared" ref="E90:E100" si="6">IF(G90="No", D90*0, D90*0.1)</f>
        <v>380</v>
      </c>
      <c r="F90" s="1">
        <f t="shared" ref="F90:F100" si="7">IF(G90="No", D90*1, D90*0.9)</f>
        <v>3420</v>
      </c>
      <c r="G90" s="1" t="s">
        <v>16</v>
      </c>
      <c r="H90" s="1" t="s">
        <v>16</v>
      </c>
      <c r="I90" s="1">
        <v>50</v>
      </c>
    </row>
    <row r="91" spans="1:9" x14ac:dyDescent="0.25">
      <c r="A91" s="1">
        <v>85</v>
      </c>
      <c r="B91" s="6">
        <v>45941</v>
      </c>
      <c r="C91" s="1" t="s">
        <v>5</v>
      </c>
      <c r="D91" s="1">
        <v>9000</v>
      </c>
      <c r="E91" s="1">
        <f t="shared" si="6"/>
        <v>900</v>
      </c>
      <c r="F91" s="1">
        <f t="shared" si="7"/>
        <v>8100</v>
      </c>
      <c r="G91" s="1" t="s">
        <v>16</v>
      </c>
      <c r="H91" s="1" t="s">
        <v>16</v>
      </c>
      <c r="I91" s="1">
        <v>120</v>
      </c>
    </row>
    <row r="92" spans="1:9" x14ac:dyDescent="0.25">
      <c r="A92" s="1">
        <v>86</v>
      </c>
      <c r="B92" s="6">
        <v>45943</v>
      </c>
      <c r="C92" s="1" t="s">
        <v>108</v>
      </c>
      <c r="D92" s="1">
        <v>1260</v>
      </c>
      <c r="E92" s="1">
        <f t="shared" si="6"/>
        <v>126</v>
      </c>
      <c r="F92" s="1">
        <f t="shared" si="7"/>
        <v>1134</v>
      </c>
      <c r="G92" s="1" t="s">
        <v>16</v>
      </c>
      <c r="H92" s="1" t="s">
        <v>16</v>
      </c>
      <c r="I92" s="1">
        <v>18</v>
      </c>
    </row>
    <row r="93" spans="1:9" x14ac:dyDescent="0.25">
      <c r="A93" s="1">
        <v>87</v>
      </c>
      <c r="B93" s="6">
        <v>45945</v>
      </c>
      <c r="C93" s="1" t="s">
        <v>108</v>
      </c>
      <c r="D93" s="1">
        <v>1260</v>
      </c>
      <c r="E93" s="1">
        <f t="shared" si="6"/>
        <v>126</v>
      </c>
      <c r="F93" s="1">
        <f t="shared" si="7"/>
        <v>1134</v>
      </c>
      <c r="G93" s="1" t="s">
        <v>16</v>
      </c>
      <c r="H93" s="1" t="s">
        <v>16</v>
      </c>
      <c r="I93" s="1">
        <v>18</v>
      </c>
    </row>
    <row r="94" spans="1:9" x14ac:dyDescent="0.25">
      <c r="A94" s="1">
        <v>88</v>
      </c>
      <c r="B94" s="6">
        <v>45948</v>
      </c>
      <c r="C94" s="1" t="s">
        <v>5</v>
      </c>
      <c r="D94" s="1">
        <v>4500</v>
      </c>
      <c r="E94" s="1">
        <f t="shared" si="6"/>
        <v>450</v>
      </c>
      <c r="F94" s="1">
        <f t="shared" si="7"/>
        <v>4050</v>
      </c>
      <c r="G94" s="1" t="s">
        <v>16</v>
      </c>
      <c r="H94" s="1" t="s">
        <v>16</v>
      </c>
      <c r="I94" s="1">
        <v>60</v>
      </c>
    </row>
    <row r="95" spans="1:9" x14ac:dyDescent="0.25">
      <c r="A95" s="1">
        <v>89</v>
      </c>
      <c r="B95" s="6">
        <v>45948</v>
      </c>
      <c r="C95" s="1" t="s">
        <v>108</v>
      </c>
      <c r="D95" s="1">
        <v>2520</v>
      </c>
      <c r="E95" s="1">
        <f t="shared" si="6"/>
        <v>252</v>
      </c>
      <c r="F95" s="1">
        <f t="shared" si="7"/>
        <v>2268</v>
      </c>
      <c r="G95" s="1" t="s">
        <v>16</v>
      </c>
      <c r="H95" s="1" t="s">
        <v>16</v>
      </c>
      <c r="I95" s="1">
        <v>36</v>
      </c>
    </row>
    <row r="96" spans="1:9" x14ac:dyDescent="0.25">
      <c r="A96" s="1">
        <v>90</v>
      </c>
      <c r="B96" s="6">
        <v>45951</v>
      </c>
      <c r="C96" s="1" t="s">
        <v>5</v>
      </c>
      <c r="D96" s="1">
        <v>5300</v>
      </c>
      <c r="E96" s="1">
        <f t="shared" si="6"/>
        <v>530</v>
      </c>
      <c r="F96" s="1">
        <f t="shared" si="7"/>
        <v>4770</v>
      </c>
      <c r="G96" s="1" t="s">
        <v>16</v>
      </c>
      <c r="H96" s="1" t="s">
        <v>16</v>
      </c>
      <c r="I96" s="1">
        <v>70</v>
      </c>
    </row>
    <row r="97" spans="1:9" x14ac:dyDescent="0.25">
      <c r="A97" s="1">
        <v>91</v>
      </c>
      <c r="B97" s="6">
        <v>45951</v>
      </c>
      <c r="C97" s="1" t="s">
        <v>108</v>
      </c>
      <c r="D97" s="1">
        <v>1890</v>
      </c>
      <c r="E97" s="1">
        <f t="shared" si="6"/>
        <v>189</v>
      </c>
      <c r="F97" s="1">
        <f t="shared" si="7"/>
        <v>1701</v>
      </c>
      <c r="G97" s="1" t="s">
        <v>16</v>
      </c>
      <c r="H97" s="1" t="s">
        <v>16</v>
      </c>
      <c r="I97" s="1">
        <v>27</v>
      </c>
    </row>
    <row r="98" spans="1:9" x14ac:dyDescent="0.25">
      <c r="A98" s="1">
        <v>92</v>
      </c>
      <c r="B98" s="6">
        <v>45953</v>
      </c>
      <c r="C98" s="1" t="s">
        <v>5</v>
      </c>
      <c r="D98" s="1">
        <v>9000</v>
      </c>
      <c r="E98" s="1">
        <f t="shared" si="6"/>
        <v>900</v>
      </c>
      <c r="F98" s="1">
        <f t="shared" si="7"/>
        <v>8100</v>
      </c>
      <c r="G98" s="1" t="s">
        <v>16</v>
      </c>
      <c r="H98" s="1" t="s">
        <v>16</v>
      </c>
      <c r="I98" s="1">
        <v>60</v>
      </c>
    </row>
    <row r="99" spans="1:9" x14ac:dyDescent="0.25">
      <c r="A99" s="1">
        <v>93</v>
      </c>
      <c r="B99" s="6">
        <v>45955</v>
      </c>
      <c r="C99" s="1" t="s">
        <v>5</v>
      </c>
      <c r="D99" s="1">
        <v>5300</v>
      </c>
      <c r="E99" s="1">
        <f t="shared" si="6"/>
        <v>530</v>
      </c>
      <c r="F99" s="1">
        <f t="shared" si="7"/>
        <v>4770</v>
      </c>
      <c r="G99" s="1" t="s">
        <v>16</v>
      </c>
      <c r="H99" s="1" t="s">
        <v>16</v>
      </c>
      <c r="I99" s="1">
        <v>70</v>
      </c>
    </row>
    <row r="100" spans="1:9" x14ac:dyDescent="0.25">
      <c r="A100" s="1">
        <v>94</v>
      </c>
      <c r="B100" s="6">
        <v>45955</v>
      </c>
      <c r="C100" s="1" t="s">
        <v>108</v>
      </c>
      <c r="D100" s="1">
        <v>1890</v>
      </c>
      <c r="E100" s="1">
        <f t="shared" si="6"/>
        <v>189</v>
      </c>
      <c r="F100" s="1">
        <f t="shared" si="7"/>
        <v>1701</v>
      </c>
      <c r="G100" s="1" t="s">
        <v>16</v>
      </c>
      <c r="H100" s="1" t="s">
        <v>16</v>
      </c>
      <c r="I100" s="1">
        <v>27</v>
      </c>
    </row>
    <row r="101" spans="1:9" x14ac:dyDescent="0.25">
      <c r="A101" s="1">
        <v>95</v>
      </c>
      <c r="B101" s="6">
        <v>45957</v>
      </c>
      <c r="C101" s="1" t="s">
        <v>108</v>
      </c>
      <c r="D101" s="1">
        <v>1260</v>
      </c>
      <c r="E101" s="1">
        <f>IF(G101="No", D101*0, D101*0.1)</f>
        <v>126</v>
      </c>
      <c r="F101" s="1">
        <f>IF(G101="No", D101*1, D101*0.9)</f>
        <v>1134</v>
      </c>
      <c r="G101" s="1" t="s">
        <v>16</v>
      </c>
      <c r="H101" s="1" t="s">
        <v>16</v>
      </c>
      <c r="I101" s="1">
        <v>18</v>
      </c>
    </row>
    <row r="102" spans="1:9" x14ac:dyDescent="0.25">
      <c r="A102" s="1">
        <v>96</v>
      </c>
      <c r="B102" s="6">
        <v>45958</v>
      </c>
      <c r="C102" s="1" t="s">
        <v>108</v>
      </c>
      <c r="D102" s="1">
        <v>1260</v>
      </c>
      <c r="E102" s="1">
        <f>IF(G102="No", D102*0, D102*0.1)</f>
        <v>126</v>
      </c>
      <c r="F102" s="1">
        <f>IF(G102="No", D102*1, D102*0.9)</f>
        <v>1134</v>
      </c>
      <c r="G102" s="1" t="s">
        <v>16</v>
      </c>
      <c r="H102" s="1" t="s">
        <v>16</v>
      </c>
      <c r="I102" s="1">
        <v>18</v>
      </c>
    </row>
    <row r="103" spans="1:9" x14ac:dyDescent="0.25">
      <c r="A103" s="1">
        <v>97</v>
      </c>
      <c r="B103" s="6">
        <v>45961</v>
      </c>
      <c r="C103" s="1" t="s">
        <v>108</v>
      </c>
      <c r="D103" s="1">
        <v>1680</v>
      </c>
      <c r="E103" s="1">
        <f>IF(G103="No", D103*0, D103*0.1)</f>
        <v>168</v>
      </c>
      <c r="F103" s="1">
        <f>IF(G103="No", D103*1, D103*0.9)</f>
        <v>1512</v>
      </c>
      <c r="G103" s="1" t="s">
        <v>16</v>
      </c>
      <c r="H103" s="1" t="s">
        <v>16</v>
      </c>
      <c r="I103" s="1">
        <v>24</v>
      </c>
    </row>
    <row r="104" spans="1:9" x14ac:dyDescent="0.25">
      <c r="A104" s="1">
        <v>98</v>
      </c>
      <c r="B104" s="6">
        <v>45961</v>
      </c>
      <c r="C104" s="1" t="s">
        <v>5</v>
      </c>
      <c r="D104" s="1">
        <v>2850</v>
      </c>
      <c r="E104" s="1">
        <f>IF(G104="No", D104*0, D104*0.1)</f>
        <v>285</v>
      </c>
      <c r="F104" s="1">
        <f>IF(G104="No", D104*1, D104*0.9)</f>
        <v>2565</v>
      </c>
      <c r="G104" s="1" t="s">
        <v>16</v>
      </c>
      <c r="H104" s="1" t="s">
        <v>16</v>
      </c>
      <c r="I104" s="1">
        <v>30</v>
      </c>
    </row>
    <row r="105" spans="1:9" x14ac:dyDescent="0.25">
      <c r="A105" s="9" t="s">
        <v>117</v>
      </c>
      <c r="E105" s="1"/>
      <c r="F105" s="1"/>
      <c r="G105" s="1"/>
      <c r="H105" s="1"/>
    </row>
    <row r="106" spans="1:9" x14ac:dyDescent="0.25">
      <c r="A106" s="1">
        <v>99</v>
      </c>
      <c r="B106" s="6">
        <v>45962</v>
      </c>
      <c r="C106" s="1" t="s">
        <v>5</v>
      </c>
      <c r="D106" s="1">
        <v>5300</v>
      </c>
      <c r="E106" s="1">
        <f t="shared" ref="E106:E114" si="8">IF(G106="No", D106*0, D106*0.1)</f>
        <v>530</v>
      </c>
      <c r="F106" s="1">
        <f t="shared" ref="F106:F114" si="9">IF(G106="No", D106*1, D106*0.9)</f>
        <v>4770</v>
      </c>
      <c r="G106" s="1" t="s">
        <v>16</v>
      </c>
      <c r="H106" s="1" t="s">
        <v>16</v>
      </c>
      <c r="I106" s="1">
        <v>70</v>
      </c>
    </row>
    <row r="107" spans="1:9" x14ac:dyDescent="0.25">
      <c r="A107" s="1">
        <v>100</v>
      </c>
      <c r="B107" s="6">
        <v>45964</v>
      </c>
      <c r="C107" s="1" t="s">
        <v>108</v>
      </c>
      <c r="D107" s="1">
        <v>1260</v>
      </c>
      <c r="E107" s="1">
        <f t="shared" si="8"/>
        <v>126</v>
      </c>
      <c r="F107" s="1">
        <f t="shared" si="9"/>
        <v>1134</v>
      </c>
      <c r="G107" s="1" t="s">
        <v>16</v>
      </c>
      <c r="H107" s="1" t="s">
        <v>16</v>
      </c>
      <c r="I107" s="1">
        <v>18</v>
      </c>
    </row>
    <row r="108" spans="1:9" x14ac:dyDescent="0.25">
      <c r="A108" s="1">
        <v>101</v>
      </c>
      <c r="B108" s="6">
        <v>45965</v>
      </c>
      <c r="C108" s="1" t="s">
        <v>121</v>
      </c>
      <c r="D108" s="1">
        <v>675</v>
      </c>
      <c r="E108" s="1">
        <f t="shared" si="8"/>
        <v>67.5</v>
      </c>
      <c r="F108" s="1">
        <f t="shared" si="9"/>
        <v>607.5</v>
      </c>
      <c r="G108" s="1" t="s">
        <v>16</v>
      </c>
      <c r="H108" s="1" t="s">
        <v>16</v>
      </c>
      <c r="I108" s="1">
        <v>9</v>
      </c>
    </row>
    <row r="109" spans="1:9" x14ac:dyDescent="0.25">
      <c r="A109" s="1">
        <v>102</v>
      </c>
      <c r="B109" s="6">
        <v>45965</v>
      </c>
      <c r="C109" s="1" t="s">
        <v>5</v>
      </c>
      <c r="D109" s="1">
        <v>8075</v>
      </c>
      <c r="E109" s="1">
        <f t="shared" si="8"/>
        <v>807.5</v>
      </c>
      <c r="F109" s="1">
        <f t="shared" si="9"/>
        <v>7267.5</v>
      </c>
      <c r="G109" s="1" t="s">
        <v>16</v>
      </c>
      <c r="H109" s="1" t="s">
        <v>16</v>
      </c>
      <c r="I109" s="1">
        <v>100</v>
      </c>
    </row>
    <row r="110" spans="1:9" x14ac:dyDescent="0.25">
      <c r="A110" s="1">
        <v>103</v>
      </c>
      <c r="B110" s="10">
        <v>45969</v>
      </c>
      <c r="C110" s="1" t="s">
        <v>108</v>
      </c>
      <c r="D110" s="1">
        <v>1890</v>
      </c>
      <c r="E110" s="1">
        <f t="shared" si="8"/>
        <v>189</v>
      </c>
      <c r="F110" s="1">
        <f t="shared" si="9"/>
        <v>1701</v>
      </c>
      <c r="G110" s="1" t="s">
        <v>16</v>
      </c>
      <c r="H110" s="1" t="s">
        <v>16</v>
      </c>
      <c r="I110" s="1">
        <v>27</v>
      </c>
    </row>
    <row r="111" spans="1:9" x14ac:dyDescent="0.25">
      <c r="A111" s="1">
        <v>104</v>
      </c>
      <c r="B111" s="6">
        <v>45971</v>
      </c>
      <c r="C111" s="1" t="s">
        <v>121</v>
      </c>
      <c r="D111" s="1">
        <v>675</v>
      </c>
      <c r="E111" s="1">
        <f t="shared" si="8"/>
        <v>67.5</v>
      </c>
      <c r="F111" s="1">
        <f t="shared" si="9"/>
        <v>607.5</v>
      </c>
      <c r="G111" s="1" t="s">
        <v>16</v>
      </c>
      <c r="H111" s="1" t="s">
        <v>16</v>
      </c>
      <c r="I111" s="1">
        <v>9</v>
      </c>
    </row>
    <row r="112" spans="1:9" x14ac:dyDescent="0.25">
      <c r="A112" s="1">
        <v>105</v>
      </c>
      <c r="B112" s="6">
        <v>45971</v>
      </c>
      <c r="C112" s="1" t="s">
        <v>108</v>
      </c>
      <c r="D112" s="1">
        <v>1260</v>
      </c>
      <c r="E112" s="1">
        <f t="shared" si="8"/>
        <v>126</v>
      </c>
      <c r="F112" s="1">
        <f t="shared" si="9"/>
        <v>1134</v>
      </c>
      <c r="G112" s="1" t="s">
        <v>16</v>
      </c>
      <c r="H112" s="1" t="s">
        <v>16</v>
      </c>
      <c r="I112" s="1">
        <v>18</v>
      </c>
    </row>
    <row r="113" spans="1:13" x14ac:dyDescent="0.25">
      <c r="A113" s="1">
        <v>106</v>
      </c>
      <c r="B113" s="6">
        <v>45972</v>
      </c>
      <c r="C113" s="1" t="s">
        <v>108</v>
      </c>
      <c r="D113" s="1">
        <v>630</v>
      </c>
      <c r="E113" s="1">
        <f t="shared" si="8"/>
        <v>63</v>
      </c>
      <c r="F113" s="1">
        <f t="shared" si="9"/>
        <v>567</v>
      </c>
      <c r="G113" s="1" t="s">
        <v>16</v>
      </c>
      <c r="H113" s="1" t="s">
        <v>16</v>
      </c>
      <c r="I113" s="1">
        <v>9</v>
      </c>
    </row>
    <row r="114" spans="1:13" x14ac:dyDescent="0.25">
      <c r="A114" s="1">
        <v>107</v>
      </c>
      <c r="B114" s="11">
        <v>45974</v>
      </c>
      <c r="C114" s="1" t="s">
        <v>108</v>
      </c>
      <c r="D114" s="1">
        <v>1260</v>
      </c>
      <c r="E114" s="1">
        <f t="shared" si="8"/>
        <v>126</v>
      </c>
      <c r="F114" s="1">
        <f t="shared" si="9"/>
        <v>1134</v>
      </c>
      <c r="G114" s="1" t="s">
        <v>16</v>
      </c>
      <c r="H114" s="1" t="s">
        <v>16</v>
      </c>
      <c r="I114" s="1">
        <v>18</v>
      </c>
    </row>
    <row r="117" spans="1:13" s="2" customFormat="1" x14ac:dyDescent="0.25">
      <c r="A117" s="2" t="s">
        <v>20</v>
      </c>
      <c r="D117" s="2">
        <f>SUM(D2:D114)</f>
        <v>358250</v>
      </c>
      <c r="E117" s="2">
        <f>SUM(E2:E114)</f>
        <v>34281.5</v>
      </c>
      <c r="F117" s="2">
        <f>SUM(F2:F114)</f>
        <v>323968.5</v>
      </c>
      <c r="G117" s="2">
        <f>D117*0.6</f>
        <v>214950</v>
      </c>
      <c r="I117" s="2">
        <f>SUM(I2:I114)</f>
        <v>4672</v>
      </c>
      <c r="J117" s="1">
        <f>SUMIFS(D:D, H:H, "No")</f>
        <v>0</v>
      </c>
      <c r="M117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CFB7-992F-453E-9FF7-A38DEA2C3F13}">
  <dimension ref="A1:M55"/>
  <sheetViews>
    <sheetView tabSelected="1" workbookViewId="0">
      <selection activeCell="C15" sqref="C15"/>
    </sheetView>
  </sheetViews>
  <sheetFormatPr defaultRowHeight="15" x14ac:dyDescent="0.25"/>
  <cols>
    <col min="1" max="1" width="12.7109375" customWidth="1"/>
    <col min="2" max="2" width="12.85546875" customWidth="1"/>
    <col min="3" max="3" width="23.28515625" customWidth="1"/>
    <col min="4" max="4" width="18.7109375" customWidth="1"/>
    <col min="5" max="5" width="17.5703125" customWidth="1"/>
    <col min="6" max="6" width="15.7109375" customWidth="1"/>
    <col min="7" max="7" width="23.85546875" customWidth="1"/>
    <col min="8" max="8" width="20.28515625" customWidth="1"/>
    <col min="9" max="9" width="14.7109375" customWidth="1"/>
    <col min="14" max="14" width="11.140625" customWidth="1"/>
    <col min="15" max="16" width="10" customWidth="1"/>
  </cols>
  <sheetData>
    <row r="1" spans="1:11" x14ac:dyDescent="0.25">
      <c r="A1" s="2" t="s">
        <v>1</v>
      </c>
      <c r="B1" s="2" t="s">
        <v>74</v>
      </c>
      <c r="C1" s="2" t="s">
        <v>2</v>
      </c>
      <c r="D1" s="2" t="s">
        <v>0</v>
      </c>
      <c r="E1" s="2" t="s">
        <v>18</v>
      </c>
      <c r="F1" s="2" t="s">
        <v>19</v>
      </c>
      <c r="G1" s="2" t="s">
        <v>21</v>
      </c>
      <c r="H1" s="2" t="s">
        <v>22</v>
      </c>
      <c r="I1" s="2" t="s">
        <v>73</v>
      </c>
      <c r="K1" s="2" t="s">
        <v>129</v>
      </c>
    </row>
    <row r="2" spans="1:11" x14ac:dyDescent="0.25">
      <c r="A2" s="4" t="s">
        <v>125</v>
      </c>
      <c r="K2" s="1">
        <f>SUM(D3:D12)</f>
        <v>13845</v>
      </c>
    </row>
    <row r="3" spans="1:11" x14ac:dyDescent="0.25">
      <c r="A3" s="1">
        <v>1</v>
      </c>
      <c r="B3" s="6">
        <v>46083</v>
      </c>
      <c r="C3" s="1" t="s">
        <v>107</v>
      </c>
      <c r="D3" s="1">
        <v>670</v>
      </c>
      <c r="E3" s="1">
        <f t="shared" ref="E3:E12" si="0">IF(G3="No", D3*0, D3*0.1)</f>
        <v>67</v>
      </c>
      <c r="F3" s="1">
        <f t="shared" ref="F3:F12" si="1">IF(G3="No", D3*1, D3*0.9)</f>
        <v>603</v>
      </c>
      <c r="G3" s="1" t="s">
        <v>16</v>
      </c>
      <c r="H3" s="1" t="s">
        <v>16</v>
      </c>
      <c r="I3" s="1">
        <v>5</v>
      </c>
    </row>
    <row r="4" spans="1:11" x14ac:dyDescent="0.25">
      <c r="A4" s="1">
        <v>2</v>
      </c>
      <c r="B4" s="6">
        <v>46085</v>
      </c>
      <c r="C4" s="1" t="s">
        <v>126</v>
      </c>
      <c r="D4" s="1">
        <v>1050</v>
      </c>
      <c r="E4" s="1">
        <f t="shared" si="0"/>
        <v>0</v>
      </c>
      <c r="F4" s="1">
        <f t="shared" si="1"/>
        <v>1050</v>
      </c>
      <c r="G4" s="1" t="s">
        <v>9</v>
      </c>
      <c r="H4" s="1" t="s">
        <v>16</v>
      </c>
      <c r="I4" s="1" t="s">
        <v>128</v>
      </c>
      <c r="J4" s="1"/>
    </row>
    <row r="5" spans="1:11" x14ac:dyDescent="0.25">
      <c r="A5" s="1">
        <v>3</v>
      </c>
      <c r="B5" s="6">
        <v>46085</v>
      </c>
      <c r="C5" s="1" t="s">
        <v>127</v>
      </c>
      <c r="D5" s="1">
        <v>450</v>
      </c>
      <c r="E5" s="1">
        <f t="shared" si="0"/>
        <v>0</v>
      </c>
      <c r="F5" s="1">
        <f t="shared" si="1"/>
        <v>450</v>
      </c>
      <c r="G5" s="1" t="s">
        <v>9</v>
      </c>
      <c r="H5" s="1" t="s">
        <v>16</v>
      </c>
      <c r="I5" s="1">
        <v>9</v>
      </c>
      <c r="J5" s="1"/>
    </row>
    <row r="6" spans="1:11" x14ac:dyDescent="0.25">
      <c r="A6" s="1">
        <v>4</v>
      </c>
      <c r="B6" s="6">
        <v>46087</v>
      </c>
      <c r="C6" s="1" t="s">
        <v>5</v>
      </c>
      <c r="D6" s="1">
        <v>4000</v>
      </c>
      <c r="E6" s="1">
        <f t="shared" si="0"/>
        <v>400</v>
      </c>
      <c r="F6" s="1">
        <f t="shared" si="1"/>
        <v>3600</v>
      </c>
      <c r="G6" s="1" t="s">
        <v>16</v>
      </c>
      <c r="H6" s="1" t="s">
        <v>9</v>
      </c>
      <c r="I6" s="1">
        <v>50</v>
      </c>
      <c r="J6" s="1"/>
    </row>
    <row r="7" spans="1:11" x14ac:dyDescent="0.25">
      <c r="A7" s="1">
        <v>5</v>
      </c>
      <c r="B7" s="6">
        <v>46088</v>
      </c>
      <c r="C7" s="1" t="s">
        <v>107</v>
      </c>
      <c r="D7" s="1">
        <v>2100</v>
      </c>
      <c r="E7" s="1">
        <f t="shared" si="0"/>
        <v>210</v>
      </c>
      <c r="F7" s="1">
        <f t="shared" si="1"/>
        <v>1890</v>
      </c>
      <c r="G7" s="1" t="s">
        <v>16</v>
      </c>
      <c r="H7" s="1" t="s">
        <v>16</v>
      </c>
      <c r="I7" s="1">
        <v>30</v>
      </c>
      <c r="J7" s="1"/>
    </row>
    <row r="8" spans="1:11" x14ac:dyDescent="0.25">
      <c r="A8" s="1">
        <v>6</v>
      </c>
      <c r="B8" s="6">
        <v>46088</v>
      </c>
      <c r="C8" s="1" t="s">
        <v>121</v>
      </c>
      <c r="D8" s="1">
        <v>675</v>
      </c>
      <c r="E8" s="1">
        <f t="shared" si="0"/>
        <v>67.5</v>
      </c>
      <c r="F8" s="1">
        <f t="shared" si="1"/>
        <v>607.5</v>
      </c>
      <c r="G8" s="1" t="s">
        <v>16</v>
      </c>
      <c r="H8" s="1" t="s">
        <v>16</v>
      </c>
      <c r="I8" s="1">
        <v>9</v>
      </c>
      <c r="J8" s="1"/>
    </row>
    <row r="9" spans="1:11" x14ac:dyDescent="0.25">
      <c r="A9" s="1">
        <v>7</v>
      </c>
      <c r="B9" s="6">
        <v>46091</v>
      </c>
      <c r="C9" s="1" t="s">
        <v>130</v>
      </c>
      <c r="D9" s="1">
        <v>900</v>
      </c>
      <c r="E9" s="1">
        <f t="shared" si="0"/>
        <v>0</v>
      </c>
      <c r="F9" s="1">
        <f t="shared" si="1"/>
        <v>900</v>
      </c>
      <c r="G9" s="1" t="s">
        <v>9</v>
      </c>
      <c r="H9" s="1" t="s">
        <v>16</v>
      </c>
      <c r="I9" s="1">
        <v>9</v>
      </c>
    </row>
    <row r="10" spans="1:11" x14ac:dyDescent="0.25">
      <c r="A10" s="1">
        <v>8</v>
      </c>
      <c r="B10" s="6">
        <v>46091</v>
      </c>
      <c r="C10" s="1" t="s">
        <v>5</v>
      </c>
      <c r="D10" s="1">
        <v>2400</v>
      </c>
      <c r="E10" s="1">
        <f t="shared" si="0"/>
        <v>240</v>
      </c>
      <c r="F10" s="1">
        <f t="shared" si="1"/>
        <v>2160</v>
      </c>
      <c r="G10" s="1" t="s">
        <v>16</v>
      </c>
      <c r="H10" s="1" t="s">
        <v>9</v>
      </c>
      <c r="I10" s="1">
        <v>30</v>
      </c>
    </row>
    <row r="11" spans="1:11" x14ac:dyDescent="0.25">
      <c r="A11" s="1">
        <v>9</v>
      </c>
      <c r="B11" s="6">
        <v>46092</v>
      </c>
      <c r="C11" s="1" t="s">
        <v>107</v>
      </c>
      <c r="D11" s="1">
        <v>1050</v>
      </c>
      <c r="E11" s="1">
        <f t="shared" si="0"/>
        <v>105</v>
      </c>
      <c r="F11" s="1">
        <f t="shared" si="1"/>
        <v>945</v>
      </c>
      <c r="G11" s="1" t="s">
        <v>16</v>
      </c>
      <c r="H11" s="1" t="s">
        <v>16</v>
      </c>
      <c r="I11" s="1">
        <v>15</v>
      </c>
    </row>
    <row r="12" spans="1:11" x14ac:dyDescent="0.25">
      <c r="A12" s="1">
        <v>10</v>
      </c>
      <c r="B12" s="6">
        <v>46093</v>
      </c>
      <c r="C12" s="1" t="s">
        <v>131</v>
      </c>
      <c r="D12" s="1">
        <v>550</v>
      </c>
      <c r="E12" s="1">
        <f t="shared" si="0"/>
        <v>0</v>
      </c>
      <c r="F12" s="1">
        <f t="shared" si="1"/>
        <v>550</v>
      </c>
      <c r="G12" s="1" t="s">
        <v>9</v>
      </c>
      <c r="H12" s="1" t="s">
        <v>16</v>
      </c>
      <c r="I12" s="1">
        <v>6</v>
      </c>
    </row>
    <row r="13" spans="1:11" x14ac:dyDescent="0.25">
      <c r="F13" s="1"/>
      <c r="G13" s="1"/>
      <c r="H13" s="1"/>
    </row>
    <row r="14" spans="1:11" x14ac:dyDescent="0.25">
      <c r="F14" s="1"/>
      <c r="G14" s="1"/>
      <c r="H14" s="1"/>
    </row>
    <row r="15" spans="1:11" x14ac:dyDescent="0.25">
      <c r="F15" s="1"/>
      <c r="G15" s="1"/>
      <c r="H15" s="1"/>
    </row>
    <row r="16" spans="1:11" x14ac:dyDescent="0.25">
      <c r="F16" s="1"/>
    </row>
    <row r="17" spans="1:13" x14ac:dyDescent="0.25">
      <c r="F17" s="1"/>
    </row>
    <row r="18" spans="1:13" x14ac:dyDescent="0.25">
      <c r="F18" s="1"/>
    </row>
    <row r="19" spans="1:13" s="2" customFormat="1" x14ac:dyDescent="0.25">
      <c r="A19" s="2" t="s">
        <v>20</v>
      </c>
      <c r="D19" s="2">
        <f>K2</f>
        <v>13845</v>
      </c>
      <c r="E19" s="2">
        <f>SUM(E3:E8)</f>
        <v>744.5</v>
      </c>
      <c r="F19" s="2">
        <f>SUM(F3:F8)</f>
        <v>8200.5</v>
      </c>
      <c r="G19" s="2">
        <f>D19*0.6</f>
        <v>8307</v>
      </c>
      <c r="I19" s="2">
        <f>SUM(I3:I12)</f>
        <v>163</v>
      </c>
      <c r="J19" s="1">
        <f>SUMIFS(D:D, H:H, "No")</f>
        <v>6400</v>
      </c>
      <c r="M19" s="1"/>
    </row>
    <row r="20" spans="1:13" x14ac:dyDescent="0.25">
      <c r="D20" s="1"/>
      <c r="F20" s="1"/>
    </row>
    <row r="21" spans="1:13" x14ac:dyDescent="0.25">
      <c r="D21" s="1"/>
      <c r="F21" s="1"/>
    </row>
    <row r="22" spans="1:13" x14ac:dyDescent="0.25">
      <c r="D22" s="1"/>
      <c r="F22" s="1"/>
    </row>
    <row r="23" spans="1:13" x14ac:dyDescent="0.25">
      <c r="D23" s="1"/>
    </row>
    <row r="24" spans="1:13" x14ac:dyDescent="0.25">
      <c r="D24" s="1"/>
    </row>
    <row r="34" spans="2:5" x14ac:dyDescent="0.25">
      <c r="B34">
        <f ca="1">A33 + SUMIF(C:C, "Round Global", D:D)</f>
        <v>303875</v>
      </c>
      <c r="C34">
        <f ca="1">A33 + SUMIF(C:C, "Round Global", I:I)</f>
        <v>3979</v>
      </c>
      <c r="E34" t="e">
        <f>SUMIFS(#REF!,#REF!, "Round Global*")</f>
        <v>#REF!</v>
      </c>
    </row>
    <row r="43" spans="2:5" x14ac:dyDescent="0.25">
      <c r="B43" t="e">
        <f>SUM(#REF!)</f>
        <v>#REF!</v>
      </c>
    </row>
    <row r="49" spans="3:3" x14ac:dyDescent="0.25">
      <c r="C49" s="1"/>
    </row>
    <row r="55" spans="3:3" x14ac:dyDescent="0.25">
      <c r="C55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340B-C902-416D-9803-1F6FC8BD6701}">
  <dimension ref="A1:H15"/>
  <sheetViews>
    <sheetView workbookViewId="0">
      <selection activeCell="D12" sqref="D12"/>
    </sheetView>
  </sheetViews>
  <sheetFormatPr defaultRowHeight="15" x14ac:dyDescent="0.25"/>
  <cols>
    <col min="1" max="1" width="18.7109375" customWidth="1"/>
    <col min="2" max="2" width="11.140625" customWidth="1"/>
  </cols>
  <sheetData>
    <row r="1" spans="1:8" x14ac:dyDescent="0.25">
      <c r="A1" s="2" t="s">
        <v>6</v>
      </c>
      <c r="B1" s="2" t="s">
        <v>7</v>
      </c>
      <c r="C1" s="3"/>
    </row>
    <row r="2" spans="1:8" x14ac:dyDescent="0.25">
      <c r="A2" s="1" t="s">
        <v>8</v>
      </c>
      <c r="B2" s="1" t="s">
        <v>9</v>
      </c>
    </row>
    <row r="3" spans="1:8" x14ac:dyDescent="0.25">
      <c r="A3" s="1" t="s">
        <v>3</v>
      </c>
      <c r="B3" s="1" t="s">
        <v>10</v>
      </c>
    </row>
    <row r="4" spans="1:8" x14ac:dyDescent="0.25">
      <c r="A4" s="1" t="s">
        <v>11</v>
      </c>
      <c r="B4" s="1" t="s">
        <v>12</v>
      </c>
    </row>
    <row r="5" spans="1:8" x14ac:dyDescent="0.25">
      <c r="A5" s="1" t="s">
        <v>13</v>
      </c>
      <c r="B5" s="1" t="s">
        <v>9</v>
      </c>
    </row>
    <row r="6" spans="1:8" x14ac:dyDescent="0.25">
      <c r="A6" s="1" t="s">
        <v>14</v>
      </c>
      <c r="B6" s="1" t="s">
        <v>9</v>
      </c>
    </row>
    <row r="7" spans="1:8" x14ac:dyDescent="0.25">
      <c r="A7" s="1" t="s">
        <v>15</v>
      </c>
      <c r="B7" s="1" t="s">
        <v>9</v>
      </c>
      <c r="H7" t="s">
        <v>42</v>
      </c>
    </row>
    <row r="8" spans="1:8" x14ac:dyDescent="0.25">
      <c r="A8" s="1" t="s">
        <v>5</v>
      </c>
      <c r="B8" s="1" t="s">
        <v>16</v>
      </c>
    </row>
    <row r="9" spans="1:8" x14ac:dyDescent="0.25">
      <c r="A9" s="1" t="s">
        <v>23</v>
      </c>
      <c r="B9" s="1" t="s">
        <v>9</v>
      </c>
    </row>
    <row r="10" spans="1:8" x14ac:dyDescent="0.25">
      <c r="A10" s="1" t="s">
        <v>43</v>
      </c>
      <c r="B10" s="1" t="s">
        <v>9</v>
      </c>
    </row>
    <row r="11" spans="1:8" x14ac:dyDescent="0.25">
      <c r="A11" s="1" t="s">
        <v>107</v>
      </c>
      <c r="B11" s="1" t="s">
        <v>16</v>
      </c>
    </row>
    <row r="12" spans="1:8" x14ac:dyDescent="0.25">
      <c r="A12" s="1" t="s">
        <v>114</v>
      </c>
      <c r="B12" s="1" t="s">
        <v>9</v>
      </c>
    </row>
    <row r="13" spans="1:8" x14ac:dyDescent="0.25">
      <c r="A13" s="1" t="s">
        <v>115</v>
      </c>
      <c r="B13" s="1" t="s">
        <v>16</v>
      </c>
    </row>
    <row r="14" spans="1:8" x14ac:dyDescent="0.25">
      <c r="A14" s="1" t="s">
        <v>116</v>
      </c>
      <c r="B14" s="1" t="s">
        <v>16</v>
      </c>
    </row>
    <row r="15" spans="1:8" x14ac:dyDescent="0.25">
      <c r="A15" s="1" t="s">
        <v>123</v>
      </c>
      <c r="B15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 Track </vt:lpstr>
      <vt:lpstr>2025</vt:lpstr>
      <vt:lpstr>2026</vt:lpstr>
      <vt:lpstr>Resto Cafe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Johnson</dc:creator>
  <cp:lastModifiedBy>Austin Johnson</cp:lastModifiedBy>
  <dcterms:created xsi:type="dcterms:W3CDTF">2025-05-17T13:05:43Z</dcterms:created>
  <dcterms:modified xsi:type="dcterms:W3CDTF">2026-03-14T11:52:51Z</dcterms:modified>
</cp:coreProperties>
</file>